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/>
  <mc:AlternateContent xmlns:mc="http://schemas.openxmlformats.org/markup-compatibility/2006">
    <mc:Choice Requires="x15">
      <x15ac:absPath xmlns:x15ac="http://schemas.microsoft.com/office/spreadsheetml/2010/11/ac" url="C:\Users\wdk\Desktop\新建文件夹 (2)\"/>
    </mc:Choice>
  </mc:AlternateContent>
  <xr:revisionPtr revIDLastSave="0" documentId="13_ncr:1_{EA72548A-465B-42AE-8272-E6513FE8A3B1}" xr6:coauthVersionLast="36" xr6:coauthVersionMax="47" xr10:uidLastSave="{00000000-0000-0000-0000-000000000000}"/>
  <bookViews>
    <workbookView xWindow="-105" yWindow="-105" windowWidth="25815" windowHeight="13905" xr2:uid="{00000000-000D-0000-FFFF-FFFF00000000}"/>
  </bookViews>
  <sheets>
    <sheet name="Sheet1" sheetId="1" r:id="rId1"/>
  </sheets>
  <definedNames>
    <definedName name="_xlnm._FilterDatabase" localSheetId="0" hidden="1">Sheet1!$E$1:$S$94</definedName>
  </definedNames>
  <calcPr calcId="179021"/>
</workbook>
</file>

<file path=xl/calcChain.xml><?xml version="1.0" encoding="utf-8"?>
<calcChain xmlns="http://schemas.openxmlformats.org/spreadsheetml/2006/main">
  <c r="E95" i="1" l="1"/>
  <c r="E3" i="1"/>
  <c r="E94" i="1" l="1"/>
  <c r="E93" i="1" l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</calcChain>
</file>

<file path=xl/sharedStrings.xml><?xml version="1.0" encoding="utf-8"?>
<sst xmlns="http://schemas.openxmlformats.org/spreadsheetml/2006/main" count="132" uniqueCount="72">
  <si>
    <t>Nb</t>
  </si>
  <si>
    <t>W</t>
  </si>
  <si>
    <t>Mo</t>
  </si>
  <si>
    <t>Zr</t>
  </si>
  <si>
    <t>C</t>
  </si>
  <si>
    <t>Hf</t>
  </si>
  <si>
    <t>Ti</t>
  </si>
  <si>
    <t>Ta</t>
  </si>
  <si>
    <t>Si</t>
  </si>
  <si>
    <t>V</t>
  </si>
  <si>
    <t>Nb5W2Mo1Zr0.07C</t>
  </si>
  <si>
    <t>Nb1Zr</t>
  </si>
  <si>
    <t>Y</t>
    <phoneticPr fontId="4" type="noConversion"/>
  </si>
  <si>
    <t>Sc</t>
    <phoneticPr fontId="4" type="noConversion"/>
  </si>
  <si>
    <t>Ru</t>
    <phoneticPr fontId="4" type="noConversion"/>
  </si>
  <si>
    <t>B</t>
    <phoneticPr fontId="4" type="noConversion"/>
  </si>
  <si>
    <t>Melt Process Parameter</t>
    <phoneticPr fontId="4" type="noConversion"/>
  </si>
  <si>
    <t>Quench_1</t>
    <phoneticPr fontId="4" type="noConversion"/>
  </si>
  <si>
    <t>Tensile Parameter and Properties</t>
    <phoneticPr fontId="4" type="noConversion"/>
  </si>
  <si>
    <t>Tensile_Rate/s-1</t>
    <phoneticPr fontId="4" type="noConversion"/>
  </si>
  <si>
    <t>UTS/MPa</t>
    <phoneticPr fontId="4" type="noConversion"/>
  </si>
  <si>
    <t>EI/%</t>
    <phoneticPr fontId="4" type="noConversion"/>
  </si>
  <si>
    <r>
      <t>Anneal_Temp_1/</t>
    </r>
    <r>
      <rPr>
        <sz val="14"/>
        <color theme="1"/>
        <rFont val="Segoe UI Symbol"/>
        <family val="1"/>
      </rPr>
      <t>℃</t>
    </r>
    <phoneticPr fontId="4" type="noConversion"/>
  </si>
  <si>
    <r>
      <t>Anneal_Temp_2/</t>
    </r>
    <r>
      <rPr>
        <sz val="14"/>
        <color theme="1"/>
        <rFont val="Segoe UI Symbol"/>
        <family val="1"/>
      </rPr>
      <t>℃</t>
    </r>
    <phoneticPr fontId="4" type="noConversion"/>
  </si>
  <si>
    <r>
      <t>Tensile_Temp/</t>
    </r>
    <r>
      <rPr>
        <sz val="14"/>
        <color theme="1"/>
        <rFont val="Times New Roman"/>
        <family val="3"/>
      </rPr>
      <t>℃</t>
    </r>
    <phoneticPr fontId="4" type="noConversion"/>
  </si>
  <si>
    <t>YS/MPa</t>
    <phoneticPr fontId="4" type="noConversion"/>
  </si>
  <si>
    <r>
      <t>Measured Composition</t>
    </r>
    <r>
      <rPr>
        <sz val="14"/>
        <color theme="1"/>
        <rFont val="宋体"/>
        <family val="3"/>
        <charset val="134"/>
      </rPr>
      <t>（</t>
    </r>
    <r>
      <rPr>
        <sz val="14"/>
        <color theme="1"/>
        <rFont val="Times New Roman"/>
        <family val="1"/>
      </rPr>
      <t>wt%</t>
    </r>
    <r>
      <rPr>
        <sz val="14"/>
        <color theme="1"/>
        <rFont val="宋体"/>
        <family val="3"/>
        <charset val="134"/>
      </rPr>
      <t>）</t>
    </r>
    <phoneticPr fontId="4" type="noConversion"/>
  </si>
  <si>
    <r>
      <t>Homo_Temp/</t>
    </r>
    <r>
      <rPr>
        <sz val="14"/>
        <color theme="1"/>
        <rFont val="Segoe UI Symbol"/>
        <family val="1"/>
      </rPr>
      <t>℃</t>
    </r>
    <phoneticPr fontId="4" type="noConversion"/>
  </si>
  <si>
    <t>Homo_Time/h</t>
    <phoneticPr fontId="4" type="noConversion"/>
  </si>
  <si>
    <t>Anneal_Time_1/h</t>
    <phoneticPr fontId="4" type="noConversion"/>
  </si>
  <si>
    <t>Anneal_Time_2/h</t>
    <phoneticPr fontId="4" type="noConversion"/>
  </si>
  <si>
    <r>
      <t>Roll_temp/</t>
    </r>
    <r>
      <rPr>
        <sz val="14"/>
        <color theme="1"/>
        <rFont val="Segoe UI Symbol"/>
        <family val="1"/>
      </rPr>
      <t>℃</t>
    </r>
    <phoneticPr fontId="4" type="noConversion"/>
  </si>
  <si>
    <t>Nb1Zr0.1C</t>
  </si>
  <si>
    <t>Nb4W2Mo1Zr0.5Ru</t>
  </si>
  <si>
    <t>Nb4W2Mo1Zr1Ru</t>
  </si>
  <si>
    <t>Nb4W2Mo1Zr1.5Ru</t>
  </si>
  <si>
    <t>Nb4W2Mo1Zr1Hf1Ru</t>
  </si>
  <si>
    <t>Nb6Ta6W2Mo1Zr0.05C</t>
  </si>
  <si>
    <t>Nb4W2Mo1Zr0.5Ru1Hf0.06C</t>
  </si>
  <si>
    <t>Nb5W0.4Hf0.04B</t>
  </si>
  <si>
    <t>Nb4W3Mo1Zr1Ru</t>
  </si>
  <si>
    <t>Nb4Ta4W2Mo1Zr0.1C</t>
  </si>
  <si>
    <t>Nb4Ta4W2Mo1Zr1Hf0.1C</t>
  </si>
  <si>
    <t>Nb4Ta4W2Mo1Zr0.05B</t>
  </si>
  <si>
    <t>Nb4Ta4W2Mo1Zr1Hf0.05B</t>
  </si>
  <si>
    <t>Nb4Ta4W2Mo2Zr0.1C</t>
  </si>
  <si>
    <t>Nb6Ta6W2Mo1Zr0.1C</t>
  </si>
  <si>
    <t>Nb4Ta4W2Mo1Ru1Zr0.1C</t>
  </si>
  <si>
    <t>Alloy_Num</t>
    <phoneticPr fontId="4" type="noConversion"/>
  </si>
  <si>
    <t>Components</t>
    <phoneticPr fontId="4" type="noConversion"/>
  </si>
  <si>
    <t>Nb4Ta2W2Mo0.5Zr0.05Si0.05C</t>
  </si>
  <si>
    <t>Nb3Ta3W2Mo0.5Zr1Hf0.05B0.05C</t>
  </si>
  <si>
    <t>Nb15Hf4.5W0.05B</t>
  </si>
  <si>
    <t>Nb8Ta2W2Mo0.5Zr0.05Si0.05C</t>
  </si>
  <si>
    <t>Nb6Ta5W2Mo1Zr1.5Hf0.1C</t>
  </si>
  <si>
    <t>Nb2Ta2W2Mo1Hf0.5Zr0.05C0.06Y0.04Si0.05B</t>
  </si>
  <si>
    <t>Nb10Hf6W0.05B0.1C</t>
  </si>
  <si>
    <t>Nb6Ta6W2Mo1Zr5Hf0.1C</t>
  </si>
  <si>
    <t>Nb6Ta6W2Mo1Zr1.5Hf0.05C0.1N</t>
  </si>
  <si>
    <t>Nb5Ta5W2Mo1Hf1Zr0.1C0.06Y0.04Si0.05B</t>
  </si>
  <si>
    <t>Nb8Ta5W1Mo0.5Ru1Zr0.05C0.2B</t>
  </si>
  <si>
    <t>N</t>
    <phoneticPr fontId="4" type="noConversion"/>
  </si>
  <si>
    <t>Design Components</t>
  </si>
  <si>
    <t>Paper_Num</t>
    <phoneticPr fontId="4" type="noConversion"/>
  </si>
  <si>
    <t>Paper_Name</t>
    <phoneticPr fontId="4" type="noConversion"/>
  </si>
  <si>
    <t>Nb10Hf10W0.1B0.2N</t>
  </si>
  <si>
    <t>Nb10Hf10W0.2Y0.1C</t>
  </si>
  <si>
    <t>Deform_rate(%)</t>
    <phoneticPr fontId="4" type="noConversion"/>
  </si>
  <si>
    <t>predict</t>
    <phoneticPr fontId="4" type="noConversion"/>
  </si>
  <si>
    <t>Nb4W2Mo1Zr1Ru</t>
    <phoneticPr fontId="4" type="noConversion"/>
  </si>
  <si>
    <t>data</t>
    <phoneticPr fontId="4" type="noConversion"/>
  </si>
  <si>
    <t>Nb13.1W2.4Mo0.9Zr0.1C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</si>
</sst>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等线"/>
      <charset val="134"/>
      <scheme val="minor"/>
    </font>
    <font>
      <sz val="14"/>
      <color theme="1"/>
      <name val="Times New Roman"/>
      <family val="1"/>
    </font>
    <font>
      <sz val="14"/>
      <color theme="1"/>
      <name val="宋体"/>
      <family val="3"/>
      <charset val="134"/>
    </font>
    <font>
      <sz val="14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14"/>
      <color theme="1"/>
      <name val="Times New Roman"/>
      <family val="3"/>
    </font>
    <font>
      <sz val="14"/>
      <color theme="1"/>
      <name val="Segoe UI Symbol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26">
    <open main="86" threadCnt="1"/>
    <sheetInfos>
      <sheetInfo cellCmpFml="26" sheetStid="1">
        <open main="13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www.wps.cn/officeDocument/2023/relationships/woinfos" Target="woinfo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5"/>
  <sheetViews>
    <sheetView tabSelected="1" zoomScale="70" zoomScaleNormal="70" workbookViewId="0">
      <pane xSplit="4" ySplit="2" topLeftCell="U3" activePane="bottomRight" state="frozen"/>
      <selection pane="topRight" activeCell="E1" sqref="E1"/>
      <selection pane="bottomLeft" activeCell="A3" sqref="A3"/>
      <selection pane="bottomRight" activeCell="AD99" sqref="AD99"/>
    </sheetView>
  </sheetViews>
  <sheetFormatPr defaultColWidth="8.875" defaultRowHeight="18.75" x14ac:dyDescent="0.2"/>
  <cols>
    <col min="1" max="1" width="12.25" style="1" customWidth="1"/>
    <col min="2" max="2" width="21.875" style="1" customWidth="1"/>
    <col min="3" max="3" width="20.125" style="1" customWidth="1"/>
    <col min="4" max="4" width="48.75" style="1" customWidth="1"/>
    <col min="5" max="5" width="7.625" style="1" customWidth="1"/>
    <col min="6" max="6" width="10.375" style="1" customWidth="1"/>
    <col min="7" max="7" width="9.625" style="1" customWidth="1"/>
    <col min="8" max="8" width="8.75" style="1" customWidth="1"/>
    <col min="9" max="9" width="10.375" style="1" customWidth="1"/>
    <col min="10" max="10" width="9.25" style="1" customWidth="1"/>
    <col min="11" max="11" width="7.375" style="1" customWidth="1"/>
    <col min="12" max="13" width="10.375" style="1" customWidth="1"/>
    <col min="14" max="19" width="14.125" style="1" customWidth="1"/>
    <col min="20" max="20" width="17.875" style="1" customWidth="1"/>
    <col min="21" max="21" width="14.125" style="1" customWidth="1"/>
    <col min="22" max="22" width="12.375" style="1" customWidth="1"/>
    <col min="23" max="26" width="18.125" style="1" customWidth="1"/>
    <col min="27" max="28" width="19.25" style="1" customWidth="1"/>
    <col min="29" max="29" width="18.625" style="1" customWidth="1"/>
    <col min="30" max="30" width="17.125" style="1" customWidth="1"/>
    <col min="31" max="31" width="16.75" style="1" customWidth="1"/>
    <col min="32" max="32" width="16.875" style="1" customWidth="1"/>
    <col min="33" max="33" width="11.375" style="1" customWidth="1"/>
    <col min="34" max="16384" width="8.875" style="1"/>
  </cols>
  <sheetData>
    <row r="1" spans="1:33" ht="23.25" customHeight="1" x14ac:dyDescent="0.2">
      <c r="A1" s="9"/>
      <c r="B1" s="9"/>
      <c r="C1" s="9"/>
      <c r="D1" s="1" t="s">
        <v>62</v>
      </c>
      <c r="E1" s="17" t="s">
        <v>26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6" t="s">
        <v>16</v>
      </c>
      <c r="U1" s="16"/>
      <c r="V1" s="16"/>
      <c r="W1" s="16"/>
      <c r="X1" s="16"/>
      <c r="Y1" s="16"/>
      <c r="Z1" s="16"/>
      <c r="AA1" s="16"/>
      <c r="AB1" s="16"/>
      <c r="AC1" s="15" t="s">
        <v>18</v>
      </c>
      <c r="AD1" s="15"/>
      <c r="AE1" s="15"/>
      <c r="AF1" s="15"/>
      <c r="AG1" s="15"/>
    </row>
    <row r="2" spans="1:33" ht="20.100000000000001" customHeight="1" x14ac:dyDescent="0.2">
      <c r="A2" s="9" t="s">
        <v>64</v>
      </c>
      <c r="B2" s="9" t="s">
        <v>63</v>
      </c>
      <c r="C2" s="1" t="s">
        <v>48</v>
      </c>
      <c r="D2" s="7" t="s">
        <v>49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61</v>
      </c>
      <c r="O2" s="1" t="s">
        <v>9</v>
      </c>
      <c r="P2" s="1" t="s">
        <v>13</v>
      </c>
      <c r="Q2" s="1" t="s">
        <v>14</v>
      </c>
      <c r="R2" s="1" t="s">
        <v>15</v>
      </c>
      <c r="S2" s="1" t="s">
        <v>12</v>
      </c>
      <c r="T2" s="1" t="s">
        <v>27</v>
      </c>
      <c r="U2" s="1" t="s">
        <v>28</v>
      </c>
      <c r="V2" s="1" t="s">
        <v>31</v>
      </c>
      <c r="W2" s="1" t="s">
        <v>67</v>
      </c>
      <c r="X2" s="1" t="s">
        <v>22</v>
      </c>
      <c r="Y2" s="1" t="s">
        <v>29</v>
      </c>
      <c r="Z2" s="1" t="s">
        <v>17</v>
      </c>
      <c r="AA2" s="1" t="s">
        <v>23</v>
      </c>
      <c r="AB2" s="1" t="s">
        <v>30</v>
      </c>
      <c r="AC2" s="1" t="s">
        <v>24</v>
      </c>
      <c r="AD2" s="1" t="s">
        <v>19</v>
      </c>
      <c r="AE2" s="1" t="s">
        <v>25</v>
      </c>
      <c r="AF2" s="1" t="s">
        <v>20</v>
      </c>
      <c r="AG2" s="1" t="s">
        <v>21</v>
      </c>
    </row>
    <row r="3" spans="1:33" s="11" customFormat="1" x14ac:dyDescent="0.2">
      <c r="A3" s="18" t="s">
        <v>70</v>
      </c>
      <c r="B3" s="4">
        <v>13</v>
      </c>
      <c r="C3" s="11">
        <v>0</v>
      </c>
      <c r="D3" s="11" t="s">
        <v>71</v>
      </c>
      <c r="E3" s="11">
        <f t="shared" ref="E3" si="0">100-F3-G3-H3-I3-L3-Q3-R3-J3-K3-M3-N3-O3-P3-S3</f>
        <v>83.5</v>
      </c>
      <c r="F3" s="11">
        <v>13.1</v>
      </c>
      <c r="G3" s="11">
        <v>2.4</v>
      </c>
      <c r="H3" s="11">
        <v>0.9</v>
      </c>
      <c r="I3" s="11">
        <v>0.1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25</v>
      </c>
      <c r="U3" s="11">
        <v>0</v>
      </c>
      <c r="V3" s="11">
        <v>25</v>
      </c>
      <c r="W3" s="11">
        <v>0</v>
      </c>
      <c r="X3" s="11">
        <v>1350</v>
      </c>
      <c r="Y3" s="11">
        <v>10</v>
      </c>
      <c r="Z3" s="5">
        <v>1</v>
      </c>
      <c r="AA3" s="5">
        <v>25</v>
      </c>
      <c r="AB3" s="5">
        <v>0</v>
      </c>
      <c r="AC3" s="11">
        <v>25</v>
      </c>
      <c r="AD3" s="11">
        <v>1E-3</v>
      </c>
      <c r="AE3" s="11">
        <v>260</v>
      </c>
      <c r="AF3" s="11">
        <v>450</v>
      </c>
      <c r="AG3" s="11">
        <v>12</v>
      </c>
    </row>
    <row r="4" spans="1:33" x14ac:dyDescent="0.2">
      <c r="A4" s="18"/>
      <c r="B4" s="6">
        <v>13</v>
      </c>
      <c r="C4" s="3">
        <v>1</v>
      </c>
      <c r="D4" s="3" t="s">
        <v>11</v>
      </c>
      <c r="E4" s="1">
        <f t="shared" ref="E4:E62" si="1">100-F4-G4-H4-I4-L4-Q4-R4-J4-K4-M4-N4-O4-P4-S4</f>
        <v>99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25</v>
      </c>
      <c r="U4" s="1">
        <v>0</v>
      </c>
      <c r="V4" s="1">
        <v>400</v>
      </c>
      <c r="W4" s="1">
        <v>85</v>
      </c>
      <c r="X4" s="1">
        <v>25</v>
      </c>
      <c r="Y4" s="1">
        <v>0</v>
      </c>
      <c r="Z4" s="5">
        <v>0</v>
      </c>
      <c r="AA4" s="5">
        <v>25</v>
      </c>
      <c r="AB4" s="5">
        <v>0</v>
      </c>
      <c r="AC4" s="1">
        <v>25</v>
      </c>
      <c r="AD4" s="1">
        <v>1E-3</v>
      </c>
      <c r="AE4" s="1">
        <v>526</v>
      </c>
      <c r="AF4" s="1">
        <v>640</v>
      </c>
      <c r="AG4" s="1">
        <v>12</v>
      </c>
    </row>
    <row r="5" spans="1:33" x14ac:dyDescent="0.2">
      <c r="A5" s="18"/>
      <c r="B5" s="4">
        <v>13</v>
      </c>
      <c r="C5" s="1">
        <v>2</v>
      </c>
      <c r="D5" s="1" t="s">
        <v>32</v>
      </c>
      <c r="E5" s="1">
        <f t="shared" si="1"/>
        <v>98.9</v>
      </c>
      <c r="F5" s="1">
        <v>0</v>
      </c>
      <c r="G5" s="1">
        <v>0</v>
      </c>
      <c r="H5" s="1">
        <v>1</v>
      </c>
      <c r="I5" s="1">
        <v>0.1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25</v>
      </c>
      <c r="U5" s="1">
        <v>0</v>
      </c>
      <c r="V5" s="1">
        <v>400</v>
      </c>
      <c r="W5" s="1">
        <v>85</v>
      </c>
      <c r="X5" s="1">
        <v>25</v>
      </c>
      <c r="Y5" s="1">
        <v>0</v>
      </c>
      <c r="Z5" s="5">
        <v>0</v>
      </c>
      <c r="AA5" s="5">
        <v>25</v>
      </c>
      <c r="AB5" s="5">
        <v>0</v>
      </c>
      <c r="AC5" s="1">
        <v>25</v>
      </c>
      <c r="AD5" s="1">
        <v>1E-3</v>
      </c>
      <c r="AE5" s="1">
        <v>566</v>
      </c>
      <c r="AF5" s="1">
        <v>585</v>
      </c>
      <c r="AG5" s="1">
        <v>6.9</v>
      </c>
    </row>
    <row r="6" spans="1:33" x14ac:dyDescent="0.2">
      <c r="A6" s="18"/>
      <c r="B6" s="4">
        <v>13</v>
      </c>
      <c r="C6" s="1">
        <v>3</v>
      </c>
      <c r="D6" s="1" t="s">
        <v>33</v>
      </c>
      <c r="E6" s="1">
        <f t="shared" si="1"/>
        <v>92.5</v>
      </c>
      <c r="F6" s="1">
        <v>4</v>
      </c>
      <c r="G6" s="1">
        <v>2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0.5</v>
      </c>
      <c r="R6" s="1">
        <v>0</v>
      </c>
      <c r="S6" s="1">
        <v>0</v>
      </c>
      <c r="T6" s="1">
        <v>25</v>
      </c>
      <c r="U6" s="1">
        <v>0</v>
      </c>
      <c r="V6" s="1">
        <v>400</v>
      </c>
      <c r="W6" s="1">
        <v>85</v>
      </c>
      <c r="X6" s="1">
        <v>25</v>
      </c>
      <c r="Y6" s="1">
        <v>0</v>
      </c>
      <c r="Z6" s="5">
        <v>0</v>
      </c>
      <c r="AA6" s="5">
        <v>25</v>
      </c>
      <c r="AB6" s="5">
        <v>0</v>
      </c>
      <c r="AC6" s="1">
        <v>25</v>
      </c>
      <c r="AD6" s="1">
        <v>1E-3</v>
      </c>
      <c r="AE6" s="1">
        <v>737</v>
      </c>
      <c r="AF6" s="1">
        <v>741</v>
      </c>
      <c r="AG6" s="1">
        <v>7.8</v>
      </c>
    </row>
    <row r="7" spans="1:33" x14ac:dyDescent="0.2">
      <c r="A7" s="18"/>
      <c r="B7" s="4">
        <v>13</v>
      </c>
      <c r="C7" s="1">
        <v>4</v>
      </c>
      <c r="D7" s="1" t="s">
        <v>34</v>
      </c>
      <c r="E7" s="1">
        <f t="shared" si="1"/>
        <v>92</v>
      </c>
      <c r="F7" s="1">
        <v>4</v>
      </c>
      <c r="G7" s="1">
        <v>2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25</v>
      </c>
      <c r="U7" s="1">
        <v>0</v>
      </c>
      <c r="V7" s="1">
        <v>400</v>
      </c>
      <c r="W7" s="1">
        <v>85</v>
      </c>
      <c r="X7" s="1">
        <v>25</v>
      </c>
      <c r="Y7" s="1">
        <v>0</v>
      </c>
      <c r="Z7" s="5">
        <v>0</v>
      </c>
      <c r="AA7" s="5">
        <v>25</v>
      </c>
      <c r="AB7" s="5">
        <v>0</v>
      </c>
      <c r="AC7" s="1">
        <v>25</v>
      </c>
      <c r="AD7" s="1">
        <v>1E-3</v>
      </c>
      <c r="AE7" s="1">
        <v>753</v>
      </c>
      <c r="AF7" s="1">
        <v>804</v>
      </c>
      <c r="AG7" s="1">
        <v>5.5</v>
      </c>
    </row>
    <row r="8" spans="1:33" ht="17.45" customHeight="1" x14ac:dyDescent="0.2">
      <c r="A8" s="18"/>
      <c r="B8" s="4">
        <v>13</v>
      </c>
      <c r="C8" s="1">
        <v>5</v>
      </c>
      <c r="D8" s="1" t="s">
        <v>35</v>
      </c>
      <c r="E8" s="1">
        <f t="shared" si="1"/>
        <v>91.5</v>
      </c>
      <c r="F8" s="1">
        <v>4</v>
      </c>
      <c r="G8" s="1">
        <v>2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1.5</v>
      </c>
      <c r="R8" s="1">
        <v>0</v>
      </c>
      <c r="S8" s="1">
        <v>0</v>
      </c>
      <c r="T8" s="1">
        <v>25</v>
      </c>
      <c r="U8" s="1">
        <v>0</v>
      </c>
      <c r="V8" s="1">
        <v>400</v>
      </c>
      <c r="W8" s="1">
        <v>85</v>
      </c>
      <c r="X8" s="1">
        <v>25</v>
      </c>
      <c r="Y8" s="1">
        <v>0</v>
      </c>
      <c r="Z8" s="5">
        <v>0</v>
      </c>
      <c r="AA8" s="5">
        <v>25</v>
      </c>
      <c r="AB8" s="5">
        <v>0</v>
      </c>
      <c r="AC8" s="1">
        <v>25</v>
      </c>
      <c r="AD8" s="1">
        <v>1E-3</v>
      </c>
      <c r="AE8" s="1">
        <v>832</v>
      </c>
      <c r="AF8" s="1">
        <v>850</v>
      </c>
      <c r="AG8" s="1">
        <v>3.4</v>
      </c>
    </row>
    <row r="9" spans="1:33" ht="17.45" customHeight="1" x14ac:dyDescent="0.2">
      <c r="A9" s="18"/>
      <c r="B9" s="4">
        <v>13</v>
      </c>
      <c r="C9" s="1">
        <v>6</v>
      </c>
      <c r="D9" s="1" t="s">
        <v>10</v>
      </c>
      <c r="E9" s="1">
        <f t="shared" si="1"/>
        <v>91.9</v>
      </c>
      <c r="F9" s="1">
        <v>5</v>
      </c>
      <c r="G9" s="1">
        <v>2</v>
      </c>
      <c r="H9" s="1">
        <v>1</v>
      </c>
      <c r="I9" s="1">
        <v>0.1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25</v>
      </c>
      <c r="U9" s="1">
        <v>0</v>
      </c>
      <c r="V9" s="1">
        <v>400</v>
      </c>
      <c r="W9" s="1">
        <v>85</v>
      </c>
      <c r="X9" s="1">
        <v>25</v>
      </c>
      <c r="Y9" s="1">
        <v>0</v>
      </c>
      <c r="Z9" s="5">
        <v>0</v>
      </c>
      <c r="AA9" s="5">
        <v>25</v>
      </c>
      <c r="AB9" s="5">
        <v>0</v>
      </c>
      <c r="AC9" s="1">
        <v>25</v>
      </c>
      <c r="AD9" s="1">
        <v>1E-3</v>
      </c>
      <c r="AE9" s="1">
        <v>853</v>
      </c>
      <c r="AF9" s="1">
        <v>875</v>
      </c>
      <c r="AG9" s="1">
        <v>4.2</v>
      </c>
    </row>
    <row r="10" spans="1:33" ht="17.45" customHeight="1" x14ac:dyDescent="0.2">
      <c r="A10" s="18"/>
      <c r="B10" s="4">
        <v>13</v>
      </c>
      <c r="C10" s="1">
        <v>7</v>
      </c>
      <c r="D10" s="1" t="s">
        <v>33</v>
      </c>
      <c r="E10" s="1">
        <f t="shared" si="1"/>
        <v>92.5</v>
      </c>
      <c r="F10" s="1">
        <v>4</v>
      </c>
      <c r="G10" s="1">
        <v>2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0.5</v>
      </c>
      <c r="R10" s="1">
        <v>0</v>
      </c>
      <c r="S10" s="1">
        <v>0</v>
      </c>
      <c r="T10" s="1">
        <v>25</v>
      </c>
      <c r="U10" s="1">
        <v>0</v>
      </c>
      <c r="V10" s="1">
        <v>400</v>
      </c>
      <c r="W10" s="1">
        <v>85</v>
      </c>
      <c r="X10" s="1">
        <v>1300</v>
      </c>
      <c r="Y10" s="1">
        <v>1</v>
      </c>
      <c r="Z10" s="5">
        <v>0</v>
      </c>
      <c r="AA10" s="5">
        <v>25</v>
      </c>
      <c r="AB10" s="5">
        <v>0</v>
      </c>
      <c r="AC10" s="1">
        <v>25</v>
      </c>
      <c r="AD10" s="1">
        <v>1E-3</v>
      </c>
      <c r="AE10" s="1">
        <v>348</v>
      </c>
      <c r="AF10" s="1">
        <v>483</v>
      </c>
      <c r="AG10" s="1">
        <v>32.1</v>
      </c>
    </row>
    <row r="11" spans="1:33" x14ac:dyDescent="0.2">
      <c r="A11" s="18"/>
      <c r="B11" s="4">
        <v>13</v>
      </c>
      <c r="C11" s="1">
        <v>8</v>
      </c>
      <c r="D11" s="1" t="s">
        <v>34</v>
      </c>
      <c r="E11" s="1">
        <f t="shared" si="1"/>
        <v>92</v>
      </c>
      <c r="F11" s="1">
        <v>4</v>
      </c>
      <c r="G11" s="1">
        <v>2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25</v>
      </c>
      <c r="U11" s="1">
        <v>0</v>
      </c>
      <c r="V11" s="1">
        <v>400</v>
      </c>
      <c r="W11" s="1">
        <v>85</v>
      </c>
      <c r="X11" s="1">
        <v>1300</v>
      </c>
      <c r="Y11" s="1">
        <v>1</v>
      </c>
      <c r="Z11" s="5">
        <v>0</v>
      </c>
      <c r="AA11" s="5">
        <v>25</v>
      </c>
      <c r="AB11" s="5">
        <v>0</v>
      </c>
      <c r="AC11" s="1">
        <v>25</v>
      </c>
      <c r="AD11" s="1">
        <v>1E-3</v>
      </c>
      <c r="AE11" s="1">
        <v>418</v>
      </c>
      <c r="AF11" s="1">
        <v>558</v>
      </c>
      <c r="AG11" s="1">
        <v>26.4</v>
      </c>
    </row>
    <row r="12" spans="1:33" x14ac:dyDescent="0.2">
      <c r="A12" s="18"/>
      <c r="B12" s="4">
        <v>13</v>
      </c>
      <c r="C12" s="1">
        <v>9</v>
      </c>
      <c r="D12" s="1" t="s">
        <v>10</v>
      </c>
      <c r="E12" s="1">
        <f t="shared" si="1"/>
        <v>91.9</v>
      </c>
      <c r="F12" s="1">
        <v>5</v>
      </c>
      <c r="G12" s="1">
        <v>2</v>
      </c>
      <c r="H12" s="1">
        <v>1</v>
      </c>
      <c r="I12" s="1">
        <v>0.1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25</v>
      </c>
      <c r="U12" s="1">
        <v>0</v>
      </c>
      <c r="V12" s="1">
        <v>400</v>
      </c>
      <c r="W12" s="1">
        <v>85</v>
      </c>
      <c r="X12" s="1">
        <v>1300</v>
      </c>
      <c r="Y12" s="1">
        <v>1</v>
      </c>
      <c r="Z12" s="5">
        <v>0</v>
      </c>
      <c r="AA12" s="5">
        <v>25</v>
      </c>
      <c r="AB12" s="5">
        <v>0</v>
      </c>
      <c r="AC12" s="1">
        <v>25</v>
      </c>
      <c r="AD12" s="1">
        <v>1E-3</v>
      </c>
      <c r="AE12" s="1">
        <v>348</v>
      </c>
      <c r="AF12" s="1">
        <v>536</v>
      </c>
      <c r="AG12" s="1">
        <v>23.8</v>
      </c>
    </row>
    <row r="13" spans="1:33" x14ac:dyDescent="0.2">
      <c r="A13" s="18"/>
      <c r="B13" s="4">
        <v>13</v>
      </c>
      <c r="C13" s="1">
        <v>10</v>
      </c>
      <c r="D13" s="1" t="s">
        <v>36</v>
      </c>
      <c r="E13" s="1">
        <f t="shared" si="1"/>
        <v>91</v>
      </c>
      <c r="F13" s="1">
        <v>4</v>
      </c>
      <c r="G13" s="1">
        <v>2</v>
      </c>
      <c r="H13" s="1">
        <v>1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25</v>
      </c>
      <c r="U13" s="1">
        <v>0</v>
      </c>
      <c r="V13" s="1">
        <v>400</v>
      </c>
      <c r="W13" s="1">
        <v>85</v>
      </c>
      <c r="X13" s="1">
        <v>25</v>
      </c>
      <c r="Y13" s="1">
        <v>0</v>
      </c>
      <c r="Z13" s="5">
        <v>0</v>
      </c>
      <c r="AA13" s="5">
        <v>25</v>
      </c>
      <c r="AB13" s="5">
        <v>0</v>
      </c>
      <c r="AC13" s="1">
        <v>25</v>
      </c>
      <c r="AD13" s="1">
        <v>1E-3</v>
      </c>
      <c r="AE13" s="1">
        <v>820</v>
      </c>
      <c r="AF13" s="1">
        <v>862</v>
      </c>
      <c r="AG13" s="1">
        <v>6.5</v>
      </c>
    </row>
    <row r="14" spans="1:33" x14ac:dyDescent="0.2">
      <c r="A14" s="18"/>
      <c r="B14" s="4">
        <v>13</v>
      </c>
      <c r="C14" s="1">
        <v>11</v>
      </c>
      <c r="D14" s="1" t="s">
        <v>37</v>
      </c>
      <c r="E14" s="1">
        <f t="shared" si="1"/>
        <v>84.95</v>
      </c>
      <c r="F14" s="1">
        <v>6</v>
      </c>
      <c r="G14" s="1">
        <v>2</v>
      </c>
      <c r="H14" s="1">
        <v>1</v>
      </c>
      <c r="I14" s="1">
        <v>0.05</v>
      </c>
      <c r="J14" s="1">
        <v>0</v>
      </c>
      <c r="K14" s="1">
        <v>0</v>
      </c>
      <c r="L14" s="1">
        <v>6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25</v>
      </c>
      <c r="U14" s="1">
        <v>0</v>
      </c>
      <c r="V14" s="1">
        <v>400</v>
      </c>
      <c r="W14" s="1">
        <v>85</v>
      </c>
      <c r="X14" s="1">
        <v>25</v>
      </c>
      <c r="Y14" s="1">
        <v>0</v>
      </c>
      <c r="Z14" s="5">
        <v>0</v>
      </c>
      <c r="AA14" s="5">
        <v>25</v>
      </c>
      <c r="AB14" s="5">
        <v>0</v>
      </c>
      <c r="AC14" s="1">
        <v>25</v>
      </c>
      <c r="AD14" s="1">
        <v>1E-3</v>
      </c>
      <c r="AE14" s="1">
        <v>801</v>
      </c>
      <c r="AF14" s="1">
        <v>902</v>
      </c>
      <c r="AG14" s="1">
        <v>5.2</v>
      </c>
    </row>
    <row r="15" spans="1:33" x14ac:dyDescent="0.2">
      <c r="A15" s="18"/>
      <c r="B15" s="4">
        <v>13</v>
      </c>
      <c r="C15" s="1">
        <v>12</v>
      </c>
      <c r="D15" s="1" t="s">
        <v>38</v>
      </c>
      <c r="E15" s="1">
        <f t="shared" si="1"/>
        <v>91.44</v>
      </c>
      <c r="F15" s="1">
        <v>4</v>
      </c>
      <c r="G15" s="1">
        <v>2</v>
      </c>
      <c r="H15" s="1">
        <v>1</v>
      </c>
      <c r="I15" s="1">
        <v>0.06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0.5</v>
      </c>
      <c r="R15" s="1">
        <v>0</v>
      </c>
      <c r="S15" s="1">
        <v>0</v>
      </c>
      <c r="T15" s="1">
        <v>25</v>
      </c>
      <c r="U15" s="1">
        <v>0</v>
      </c>
      <c r="V15" s="1">
        <v>400</v>
      </c>
      <c r="W15" s="1">
        <v>85</v>
      </c>
      <c r="X15" s="1">
        <v>25</v>
      </c>
      <c r="Y15" s="1">
        <v>0</v>
      </c>
      <c r="Z15" s="5">
        <v>0</v>
      </c>
      <c r="AA15" s="5">
        <v>25</v>
      </c>
      <c r="AB15" s="5">
        <v>0</v>
      </c>
      <c r="AC15" s="1">
        <v>25</v>
      </c>
      <c r="AD15" s="1">
        <v>1E-3</v>
      </c>
      <c r="AE15" s="1">
        <v>859</v>
      </c>
      <c r="AF15" s="1">
        <v>870</v>
      </c>
      <c r="AG15" s="1">
        <v>2.2999999999999998</v>
      </c>
    </row>
    <row r="16" spans="1:33" x14ac:dyDescent="0.2">
      <c r="A16" s="18"/>
      <c r="B16" s="4">
        <v>13</v>
      </c>
      <c r="C16" s="1">
        <v>13</v>
      </c>
      <c r="D16" s="1" t="s">
        <v>39</v>
      </c>
      <c r="E16" s="1">
        <f t="shared" si="1"/>
        <v>94.559999999999988</v>
      </c>
      <c r="F16" s="1">
        <v>5</v>
      </c>
      <c r="G16" s="1">
        <v>0</v>
      </c>
      <c r="H16" s="1">
        <v>0</v>
      </c>
      <c r="I16" s="1">
        <v>0</v>
      </c>
      <c r="J16" s="1">
        <v>0.4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0.04</v>
      </c>
      <c r="S16" s="1">
        <v>0</v>
      </c>
      <c r="T16" s="1">
        <v>25</v>
      </c>
      <c r="U16" s="1">
        <v>0</v>
      </c>
      <c r="V16" s="1">
        <v>400</v>
      </c>
      <c r="W16" s="1">
        <v>85</v>
      </c>
      <c r="X16" s="1">
        <v>25</v>
      </c>
      <c r="Y16" s="1">
        <v>0</v>
      </c>
      <c r="Z16" s="5">
        <v>0</v>
      </c>
      <c r="AA16" s="5">
        <v>25</v>
      </c>
      <c r="AB16" s="5">
        <v>0</v>
      </c>
      <c r="AC16" s="1">
        <v>25</v>
      </c>
      <c r="AD16" s="1">
        <v>1E-3</v>
      </c>
      <c r="AE16" s="1">
        <v>606</v>
      </c>
      <c r="AF16" s="1">
        <v>665</v>
      </c>
      <c r="AG16" s="1">
        <v>3.7</v>
      </c>
    </row>
    <row r="17" spans="1:33" x14ac:dyDescent="0.2">
      <c r="A17" s="18"/>
      <c r="B17" s="4">
        <v>13</v>
      </c>
      <c r="C17" s="1">
        <v>14</v>
      </c>
      <c r="D17" s="1" t="s">
        <v>36</v>
      </c>
      <c r="E17" s="1">
        <f t="shared" si="1"/>
        <v>91</v>
      </c>
      <c r="F17" s="1">
        <v>4</v>
      </c>
      <c r="G17" s="1">
        <v>2</v>
      </c>
      <c r="H17" s="1">
        <v>1</v>
      </c>
      <c r="I17" s="1">
        <v>0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25</v>
      </c>
      <c r="U17" s="1">
        <v>0</v>
      </c>
      <c r="V17" s="1">
        <v>400</v>
      </c>
      <c r="W17" s="1">
        <v>85</v>
      </c>
      <c r="X17" s="1">
        <v>1300</v>
      </c>
      <c r="Y17" s="1">
        <v>1</v>
      </c>
      <c r="Z17" s="5">
        <v>0</v>
      </c>
      <c r="AA17" s="5">
        <v>25</v>
      </c>
      <c r="AB17" s="5">
        <v>0</v>
      </c>
      <c r="AC17" s="1">
        <v>25</v>
      </c>
      <c r="AD17" s="1">
        <v>1E-3</v>
      </c>
      <c r="AE17" s="1">
        <v>428</v>
      </c>
      <c r="AF17" s="1">
        <v>556</v>
      </c>
      <c r="AG17" s="1">
        <v>24</v>
      </c>
    </row>
    <row r="18" spans="1:33" x14ac:dyDescent="0.2">
      <c r="A18" s="18"/>
      <c r="B18" s="4">
        <v>13</v>
      </c>
      <c r="C18" s="1">
        <v>15</v>
      </c>
      <c r="D18" s="1" t="s">
        <v>40</v>
      </c>
      <c r="E18" s="1">
        <f t="shared" si="1"/>
        <v>91</v>
      </c>
      <c r="F18" s="1">
        <v>4</v>
      </c>
      <c r="G18" s="1">
        <v>3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0</v>
      </c>
      <c r="S18" s="1">
        <v>0</v>
      </c>
      <c r="T18" s="1">
        <v>25</v>
      </c>
      <c r="U18" s="1">
        <v>0</v>
      </c>
      <c r="V18" s="1">
        <v>400</v>
      </c>
      <c r="W18" s="1">
        <v>85</v>
      </c>
      <c r="X18" s="1">
        <v>1300</v>
      </c>
      <c r="Y18" s="1">
        <v>1</v>
      </c>
      <c r="Z18" s="5">
        <v>0</v>
      </c>
      <c r="AA18" s="5">
        <v>25</v>
      </c>
      <c r="AB18" s="5">
        <v>0</v>
      </c>
      <c r="AC18" s="1">
        <v>25</v>
      </c>
      <c r="AD18" s="1">
        <v>1E-3</v>
      </c>
      <c r="AE18" s="1">
        <v>424</v>
      </c>
      <c r="AF18" s="1">
        <v>471</v>
      </c>
      <c r="AG18" s="1">
        <v>25</v>
      </c>
    </row>
    <row r="19" spans="1:33" x14ac:dyDescent="0.2">
      <c r="A19" s="18"/>
      <c r="B19" s="4">
        <v>13</v>
      </c>
      <c r="C19" s="1">
        <v>16</v>
      </c>
      <c r="D19" s="1" t="s">
        <v>37</v>
      </c>
      <c r="E19" s="1">
        <f t="shared" si="1"/>
        <v>84.95</v>
      </c>
      <c r="F19" s="1">
        <v>6</v>
      </c>
      <c r="G19" s="1">
        <v>2</v>
      </c>
      <c r="H19" s="1">
        <v>1</v>
      </c>
      <c r="I19" s="1">
        <v>0.05</v>
      </c>
      <c r="J19" s="1">
        <v>0</v>
      </c>
      <c r="K19" s="1">
        <v>0</v>
      </c>
      <c r="L19" s="1">
        <v>6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25</v>
      </c>
      <c r="U19" s="1">
        <v>0</v>
      </c>
      <c r="V19" s="1">
        <v>400</v>
      </c>
      <c r="W19" s="1">
        <v>85</v>
      </c>
      <c r="X19" s="1">
        <v>1300</v>
      </c>
      <c r="Y19" s="1">
        <v>1</v>
      </c>
      <c r="Z19" s="5">
        <v>0</v>
      </c>
      <c r="AA19" s="5">
        <v>25</v>
      </c>
      <c r="AB19" s="5">
        <v>0</v>
      </c>
      <c r="AC19" s="1">
        <v>25</v>
      </c>
      <c r="AD19" s="1">
        <v>1E-3</v>
      </c>
      <c r="AE19" s="1">
        <v>429</v>
      </c>
      <c r="AF19" s="1">
        <v>603</v>
      </c>
      <c r="AG19" s="1">
        <v>25</v>
      </c>
    </row>
    <row r="20" spans="1:33" x14ac:dyDescent="0.2">
      <c r="A20" s="18"/>
      <c r="B20" s="4">
        <v>13</v>
      </c>
      <c r="C20" s="1">
        <v>17</v>
      </c>
      <c r="D20" s="1" t="s">
        <v>38</v>
      </c>
      <c r="E20" s="1">
        <f t="shared" si="1"/>
        <v>91.44</v>
      </c>
      <c r="F20" s="1">
        <v>4</v>
      </c>
      <c r="G20" s="1">
        <v>2</v>
      </c>
      <c r="H20" s="1">
        <v>1</v>
      </c>
      <c r="I20" s="1">
        <v>0.06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0.5</v>
      </c>
      <c r="R20" s="1">
        <v>0</v>
      </c>
      <c r="S20" s="1">
        <v>0</v>
      </c>
      <c r="T20" s="1">
        <v>25</v>
      </c>
      <c r="U20" s="1">
        <v>0</v>
      </c>
      <c r="V20" s="1">
        <v>400</v>
      </c>
      <c r="W20" s="1">
        <v>85</v>
      </c>
      <c r="X20" s="1">
        <v>1300</v>
      </c>
      <c r="Y20" s="1">
        <v>1</v>
      </c>
      <c r="Z20" s="5">
        <v>0</v>
      </c>
      <c r="AA20" s="5">
        <v>25</v>
      </c>
      <c r="AB20" s="5">
        <v>0</v>
      </c>
      <c r="AC20" s="1">
        <v>25</v>
      </c>
      <c r="AD20" s="1">
        <v>1E-3</v>
      </c>
      <c r="AE20" s="1">
        <v>365</v>
      </c>
      <c r="AF20" s="1">
        <v>468</v>
      </c>
      <c r="AG20" s="1">
        <v>19.600000000000001</v>
      </c>
    </row>
    <row r="21" spans="1:33" x14ac:dyDescent="0.2">
      <c r="A21" s="18"/>
      <c r="B21" s="4">
        <v>13</v>
      </c>
      <c r="C21" s="1">
        <v>18</v>
      </c>
      <c r="D21" s="1" t="s">
        <v>39</v>
      </c>
      <c r="E21" s="1">
        <f t="shared" si="1"/>
        <v>94.6</v>
      </c>
      <c r="F21" s="1">
        <v>5</v>
      </c>
      <c r="G21" s="1">
        <v>0</v>
      </c>
      <c r="H21" s="1">
        <v>0</v>
      </c>
      <c r="I21" s="1">
        <v>0</v>
      </c>
      <c r="J21" s="1">
        <v>0.4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25</v>
      </c>
      <c r="U21" s="1">
        <v>0</v>
      </c>
      <c r="V21" s="1">
        <v>400</v>
      </c>
      <c r="W21" s="1">
        <v>85</v>
      </c>
      <c r="X21" s="1">
        <v>1300</v>
      </c>
      <c r="Y21" s="1">
        <v>1</v>
      </c>
      <c r="Z21" s="5">
        <v>0</v>
      </c>
      <c r="AA21" s="5">
        <v>25</v>
      </c>
      <c r="AB21" s="5">
        <v>0</v>
      </c>
      <c r="AC21" s="1">
        <v>25</v>
      </c>
      <c r="AD21" s="1">
        <v>1E-3</v>
      </c>
      <c r="AE21" s="1">
        <v>566</v>
      </c>
      <c r="AF21" s="1">
        <v>634</v>
      </c>
      <c r="AG21" s="1">
        <v>8.4</v>
      </c>
    </row>
    <row r="22" spans="1:33" x14ac:dyDescent="0.2">
      <c r="A22" s="18"/>
      <c r="B22" s="4">
        <v>13</v>
      </c>
      <c r="C22" s="1">
        <v>19</v>
      </c>
      <c r="D22" s="1" t="s">
        <v>34</v>
      </c>
      <c r="E22" s="1">
        <f t="shared" si="1"/>
        <v>92</v>
      </c>
      <c r="F22" s="1">
        <v>4</v>
      </c>
      <c r="G22" s="1">
        <v>2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0</v>
      </c>
      <c r="T22" s="1">
        <v>25</v>
      </c>
      <c r="U22" s="1">
        <v>0</v>
      </c>
      <c r="V22" s="1">
        <v>400</v>
      </c>
      <c r="W22" s="1">
        <v>85</v>
      </c>
      <c r="X22" s="1">
        <v>1450</v>
      </c>
      <c r="Y22" s="1">
        <v>1</v>
      </c>
      <c r="Z22" s="5">
        <v>0</v>
      </c>
      <c r="AA22" s="5">
        <v>25</v>
      </c>
      <c r="AB22" s="5">
        <v>0</v>
      </c>
      <c r="AC22" s="1">
        <v>25</v>
      </c>
      <c r="AD22" s="1">
        <v>1E-3</v>
      </c>
      <c r="AE22" s="1">
        <v>388</v>
      </c>
      <c r="AF22" s="1">
        <v>514</v>
      </c>
      <c r="AG22" s="1">
        <v>29.6</v>
      </c>
    </row>
    <row r="23" spans="1:33" x14ac:dyDescent="0.2">
      <c r="A23" s="18"/>
      <c r="B23" s="4">
        <v>13</v>
      </c>
      <c r="C23" s="1">
        <v>20</v>
      </c>
      <c r="D23" s="1" t="s">
        <v>10</v>
      </c>
      <c r="E23" s="1">
        <f t="shared" si="1"/>
        <v>91.9</v>
      </c>
      <c r="F23" s="1">
        <v>5</v>
      </c>
      <c r="G23" s="1">
        <v>2</v>
      </c>
      <c r="H23" s="1">
        <v>1</v>
      </c>
      <c r="I23" s="1">
        <v>0.1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25</v>
      </c>
      <c r="U23" s="1">
        <v>0</v>
      </c>
      <c r="V23" s="1">
        <v>400</v>
      </c>
      <c r="W23" s="1">
        <v>85</v>
      </c>
      <c r="X23" s="1">
        <v>1450</v>
      </c>
      <c r="Y23" s="1">
        <v>1</v>
      </c>
      <c r="Z23" s="5">
        <v>0</v>
      </c>
      <c r="AA23" s="5">
        <v>25</v>
      </c>
      <c r="AB23" s="5">
        <v>0</v>
      </c>
      <c r="AC23" s="1">
        <v>25</v>
      </c>
      <c r="AD23" s="1">
        <v>1E-3</v>
      </c>
      <c r="AE23" s="1">
        <v>361</v>
      </c>
      <c r="AF23" s="1">
        <v>542</v>
      </c>
      <c r="AG23" s="1">
        <v>32</v>
      </c>
    </row>
    <row r="24" spans="1:33" x14ac:dyDescent="0.2">
      <c r="A24" s="18"/>
      <c r="B24" s="4">
        <v>13</v>
      </c>
      <c r="C24" s="1">
        <v>21</v>
      </c>
      <c r="D24" s="1" t="s">
        <v>36</v>
      </c>
      <c r="E24" s="1">
        <f t="shared" si="1"/>
        <v>91</v>
      </c>
      <c r="F24" s="1">
        <v>4</v>
      </c>
      <c r="G24" s="1">
        <v>2</v>
      </c>
      <c r="H24" s="1">
        <v>1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25</v>
      </c>
      <c r="U24" s="1">
        <v>0</v>
      </c>
      <c r="V24" s="1">
        <v>400</v>
      </c>
      <c r="W24" s="1">
        <v>85</v>
      </c>
      <c r="X24" s="1">
        <v>1450</v>
      </c>
      <c r="Y24" s="1">
        <v>1</v>
      </c>
      <c r="Z24" s="5">
        <v>0</v>
      </c>
      <c r="AA24" s="5">
        <v>25</v>
      </c>
      <c r="AB24" s="5">
        <v>0</v>
      </c>
      <c r="AC24" s="1">
        <v>25</v>
      </c>
      <c r="AD24" s="1">
        <v>1E-3</v>
      </c>
      <c r="AE24" s="1">
        <v>390</v>
      </c>
      <c r="AF24" s="1">
        <v>532</v>
      </c>
      <c r="AG24" s="1">
        <v>34</v>
      </c>
    </row>
    <row r="25" spans="1:33" x14ac:dyDescent="0.2">
      <c r="A25" s="18"/>
      <c r="B25" s="4">
        <v>13</v>
      </c>
      <c r="C25" s="1">
        <v>22</v>
      </c>
      <c r="D25" s="1" t="s">
        <v>40</v>
      </c>
      <c r="E25" s="1">
        <f t="shared" si="1"/>
        <v>91</v>
      </c>
      <c r="F25" s="1">
        <v>4</v>
      </c>
      <c r="G25" s="1">
        <v>3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25</v>
      </c>
      <c r="U25" s="1">
        <v>0</v>
      </c>
      <c r="V25" s="1">
        <v>400</v>
      </c>
      <c r="W25" s="1">
        <v>85</v>
      </c>
      <c r="X25" s="1">
        <v>1450</v>
      </c>
      <c r="Y25" s="1">
        <v>1</v>
      </c>
      <c r="Z25" s="5">
        <v>0</v>
      </c>
      <c r="AA25" s="5">
        <v>25</v>
      </c>
      <c r="AB25" s="5">
        <v>0</v>
      </c>
      <c r="AC25" s="1">
        <v>25</v>
      </c>
      <c r="AD25" s="1">
        <v>1E-3</v>
      </c>
      <c r="AE25" s="1">
        <v>412</v>
      </c>
      <c r="AF25" s="1">
        <v>538</v>
      </c>
      <c r="AG25" s="1">
        <v>29</v>
      </c>
    </row>
    <row r="26" spans="1:33" x14ac:dyDescent="0.2">
      <c r="A26" s="18"/>
      <c r="B26" s="4">
        <v>13</v>
      </c>
      <c r="C26" s="1">
        <v>23</v>
      </c>
      <c r="D26" s="1" t="s">
        <v>37</v>
      </c>
      <c r="E26" s="1">
        <f t="shared" si="1"/>
        <v>84.95</v>
      </c>
      <c r="F26" s="1">
        <v>6</v>
      </c>
      <c r="G26" s="1">
        <v>2</v>
      </c>
      <c r="H26" s="1">
        <v>1</v>
      </c>
      <c r="I26" s="1">
        <v>0.05</v>
      </c>
      <c r="J26" s="1">
        <v>0</v>
      </c>
      <c r="K26" s="1">
        <v>0</v>
      </c>
      <c r="L26" s="1">
        <v>6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25</v>
      </c>
      <c r="U26" s="1">
        <v>0</v>
      </c>
      <c r="V26" s="1">
        <v>400</v>
      </c>
      <c r="W26" s="1">
        <v>85</v>
      </c>
      <c r="X26" s="1">
        <v>1450</v>
      </c>
      <c r="Y26" s="1">
        <v>1</v>
      </c>
      <c r="Z26" s="5">
        <v>0</v>
      </c>
      <c r="AA26" s="5">
        <v>25</v>
      </c>
      <c r="AB26" s="5">
        <v>0</v>
      </c>
      <c r="AC26" s="1">
        <v>25</v>
      </c>
      <c r="AD26" s="1">
        <v>1E-3</v>
      </c>
      <c r="AE26" s="1">
        <v>342</v>
      </c>
      <c r="AF26" s="1">
        <v>490</v>
      </c>
      <c r="AG26" s="1">
        <v>38</v>
      </c>
    </row>
    <row r="27" spans="1:33" x14ac:dyDescent="0.2">
      <c r="A27" s="18"/>
      <c r="B27" s="4">
        <v>13</v>
      </c>
      <c r="C27" s="1">
        <v>24</v>
      </c>
      <c r="D27" s="1" t="s">
        <v>38</v>
      </c>
      <c r="E27" s="1">
        <f t="shared" si="1"/>
        <v>91.44</v>
      </c>
      <c r="F27" s="1">
        <v>4</v>
      </c>
      <c r="G27" s="1">
        <v>2</v>
      </c>
      <c r="H27" s="1">
        <v>1</v>
      </c>
      <c r="I27" s="1">
        <v>0.06</v>
      </c>
      <c r="J27" s="1">
        <v>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0.5</v>
      </c>
      <c r="R27" s="1">
        <v>0</v>
      </c>
      <c r="S27" s="1">
        <v>0</v>
      </c>
      <c r="T27" s="1">
        <v>25</v>
      </c>
      <c r="U27" s="1">
        <v>0</v>
      </c>
      <c r="V27" s="1">
        <v>400</v>
      </c>
      <c r="W27" s="1">
        <v>85</v>
      </c>
      <c r="X27" s="1">
        <v>1450</v>
      </c>
      <c r="Y27" s="1">
        <v>1</v>
      </c>
      <c r="Z27" s="5">
        <v>0</v>
      </c>
      <c r="AA27" s="5">
        <v>25</v>
      </c>
      <c r="AB27" s="5">
        <v>0</v>
      </c>
      <c r="AC27" s="1">
        <v>25</v>
      </c>
      <c r="AD27" s="1">
        <v>1E-3</v>
      </c>
      <c r="AE27" s="1">
        <v>369</v>
      </c>
      <c r="AF27" s="1">
        <v>499</v>
      </c>
      <c r="AG27" s="1">
        <v>23</v>
      </c>
    </row>
    <row r="28" spans="1:33" x14ac:dyDescent="0.2">
      <c r="A28" s="18"/>
      <c r="B28" s="4">
        <v>13</v>
      </c>
      <c r="C28" s="1">
        <v>25</v>
      </c>
      <c r="D28" s="1" t="s">
        <v>41</v>
      </c>
      <c r="E28" s="1">
        <f t="shared" si="1"/>
        <v>88.9</v>
      </c>
      <c r="F28" s="1">
        <v>4</v>
      </c>
      <c r="G28" s="1">
        <v>2</v>
      </c>
      <c r="H28" s="1">
        <v>1</v>
      </c>
      <c r="I28" s="1">
        <v>0.1</v>
      </c>
      <c r="J28" s="1">
        <v>0</v>
      </c>
      <c r="K28" s="1">
        <v>0</v>
      </c>
      <c r="L28" s="1">
        <v>4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25</v>
      </c>
      <c r="U28" s="1">
        <v>0</v>
      </c>
      <c r="V28" s="1">
        <v>450</v>
      </c>
      <c r="W28" s="1">
        <v>85</v>
      </c>
      <c r="X28" s="1">
        <v>25</v>
      </c>
      <c r="Y28" s="1">
        <v>0</v>
      </c>
      <c r="Z28" s="5">
        <v>0</v>
      </c>
      <c r="AA28" s="5">
        <v>25</v>
      </c>
      <c r="AB28" s="5">
        <v>0</v>
      </c>
      <c r="AC28" s="1">
        <v>25</v>
      </c>
      <c r="AD28" s="1">
        <v>1E-3</v>
      </c>
      <c r="AE28" s="1">
        <v>842</v>
      </c>
      <c r="AF28" s="1">
        <v>879</v>
      </c>
      <c r="AG28" s="1">
        <v>4</v>
      </c>
    </row>
    <row r="29" spans="1:33" x14ac:dyDescent="0.2">
      <c r="A29" s="18"/>
      <c r="B29" s="4">
        <v>13</v>
      </c>
      <c r="C29" s="1">
        <v>26</v>
      </c>
      <c r="D29" s="1" t="s">
        <v>42</v>
      </c>
      <c r="E29" s="1">
        <f t="shared" si="1"/>
        <v>87.9</v>
      </c>
      <c r="F29" s="1">
        <v>4</v>
      </c>
      <c r="G29" s="1">
        <v>2</v>
      </c>
      <c r="H29" s="1">
        <v>1</v>
      </c>
      <c r="I29" s="1">
        <v>0.1</v>
      </c>
      <c r="J29" s="1">
        <v>1</v>
      </c>
      <c r="K29" s="1">
        <v>0</v>
      </c>
      <c r="L29" s="1">
        <v>4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25</v>
      </c>
      <c r="U29" s="1">
        <v>0</v>
      </c>
      <c r="V29" s="1">
        <v>450</v>
      </c>
      <c r="W29" s="1">
        <v>85</v>
      </c>
      <c r="X29" s="1">
        <v>25</v>
      </c>
      <c r="Y29" s="1">
        <v>0</v>
      </c>
      <c r="Z29" s="5">
        <v>0</v>
      </c>
      <c r="AA29" s="5">
        <v>25</v>
      </c>
      <c r="AB29" s="5">
        <v>0</v>
      </c>
      <c r="AC29" s="1">
        <v>25</v>
      </c>
      <c r="AD29" s="1">
        <v>1E-3</v>
      </c>
      <c r="AE29" s="1">
        <v>697</v>
      </c>
      <c r="AF29" s="1">
        <v>934</v>
      </c>
      <c r="AG29" s="1">
        <v>6</v>
      </c>
    </row>
    <row r="30" spans="1:33" x14ac:dyDescent="0.2">
      <c r="A30" s="18"/>
      <c r="B30" s="4">
        <v>13</v>
      </c>
      <c r="C30" s="1">
        <v>27</v>
      </c>
      <c r="D30" s="1" t="s">
        <v>43</v>
      </c>
      <c r="E30" s="1">
        <f t="shared" si="1"/>
        <v>88.95</v>
      </c>
      <c r="F30" s="1">
        <v>4</v>
      </c>
      <c r="G30" s="1">
        <v>2</v>
      </c>
      <c r="H30" s="1">
        <v>1</v>
      </c>
      <c r="I30" s="1">
        <v>0</v>
      </c>
      <c r="J30" s="1">
        <v>0</v>
      </c>
      <c r="K30" s="1">
        <v>0</v>
      </c>
      <c r="L30" s="1">
        <v>4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0.05</v>
      </c>
      <c r="S30" s="1">
        <v>0</v>
      </c>
      <c r="T30" s="1">
        <v>25</v>
      </c>
      <c r="U30" s="1">
        <v>0</v>
      </c>
      <c r="V30" s="1">
        <v>450</v>
      </c>
      <c r="W30" s="1">
        <v>85</v>
      </c>
      <c r="X30" s="1">
        <v>25</v>
      </c>
      <c r="Y30" s="1">
        <v>0</v>
      </c>
      <c r="Z30" s="5">
        <v>0</v>
      </c>
      <c r="AA30" s="5">
        <v>25</v>
      </c>
      <c r="AB30" s="5">
        <v>0</v>
      </c>
      <c r="AC30" s="1">
        <v>25</v>
      </c>
      <c r="AD30" s="1">
        <v>1E-3</v>
      </c>
      <c r="AE30" s="1">
        <v>584</v>
      </c>
      <c r="AF30" s="1">
        <v>728</v>
      </c>
      <c r="AG30" s="1">
        <v>4.3</v>
      </c>
    </row>
    <row r="31" spans="1:33" x14ac:dyDescent="0.2">
      <c r="A31" s="18"/>
      <c r="B31" s="4">
        <v>13</v>
      </c>
      <c r="C31" s="1">
        <v>28</v>
      </c>
      <c r="D31" s="1" t="s">
        <v>44</v>
      </c>
      <c r="E31" s="1">
        <f t="shared" si="1"/>
        <v>87.95</v>
      </c>
      <c r="F31" s="1">
        <v>4</v>
      </c>
      <c r="G31" s="1">
        <v>2</v>
      </c>
      <c r="H31" s="1">
        <v>1</v>
      </c>
      <c r="I31" s="1">
        <v>0</v>
      </c>
      <c r="J31" s="1">
        <v>1</v>
      </c>
      <c r="K31" s="1">
        <v>0</v>
      </c>
      <c r="L31" s="1">
        <v>4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0.05</v>
      </c>
      <c r="S31" s="1">
        <v>0</v>
      </c>
      <c r="T31" s="1">
        <v>25</v>
      </c>
      <c r="U31" s="1">
        <v>0</v>
      </c>
      <c r="V31" s="1">
        <v>450</v>
      </c>
      <c r="W31" s="1">
        <v>85</v>
      </c>
      <c r="X31" s="1">
        <v>25</v>
      </c>
      <c r="Y31" s="1">
        <v>0</v>
      </c>
      <c r="Z31" s="5">
        <v>0</v>
      </c>
      <c r="AA31" s="5">
        <v>25</v>
      </c>
      <c r="AB31" s="5">
        <v>0</v>
      </c>
      <c r="AC31" s="1">
        <v>25</v>
      </c>
      <c r="AD31" s="1">
        <v>1E-3</v>
      </c>
      <c r="AE31" s="1">
        <v>516</v>
      </c>
      <c r="AF31" s="1">
        <v>843</v>
      </c>
      <c r="AG31" s="1">
        <v>7.2</v>
      </c>
    </row>
    <row r="32" spans="1:33" x14ac:dyDescent="0.2">
      <c r="A32" s="18"/>
      <c r="B32" s="4">
        <v>13</v>
      </c>
      <c r="C32" s="1">
        <v>29</v>
      </c>
      <c r="D32" s="4" t="s">
        <v>45</v>
      </c>
      <c r="E32" s="1">
        <f t="shared" si="1"/>
        <v>87.9</v>
      </c>
      <c r="F32" s="1">
        <v>4</v>
      </c>
      <c r="G32" s="1">
        <v>2</v>
      </c>
      <c r="H32" s="1">
        <v>2</v>
      </c>
      <c r="I32" s="1">
        <v>0.1</v>
      </c>
      <c r="J32" s="1">
        <v>0</v>
      </c>
      <c r="K32" s="1">
        <v>0</v>
      </c>
      <c r="L32" s="1">
        <v>4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25</v>
      </c>
      <c r="U32" s="1">
        <v>0</v>
      </c>
      <c r="V32" s="1">
        <v>450</v>
      </c>
      <c r="W32" s="1">
        <v>85</v>
      </c>
      <c r="X32" s="1">
        <v>25</v>
      </c>
      <c r="Y32" s="1">
        <v>0</v>
      </c>
      <c r="Z32" s="5">
        <v>0</v>
      </c>
      <c r="AA32" s="5">
        <v>25</v>
      </c>
      <c r="AB32" s="5">
        <v>0</v>
      </c>
      <c r="AC32" s="1">
        <v>25</v>
      </c>
      <c r="AD32" s="1">
        <v>1E-3</v>
      </c>
      <c r="AE32" s="1">
        <v>893</v>
      </c>
      <c r="AF32" s="1">
        <v>992</v>
      </c>
      <c r="AG32" s="1">
        <v>5.3</v>
      </c>
    </row>
    <row r="33" spans="1:33" ht="23.65" customHeight="1" x14ac:dyDescent="0.2">
      <c r="A33" s="18"/>
      <c r="B33" s="4">
        <v>13</v>
      </c>
      <c r="C33" s="1">
        <v>30</v>
      </c>
      <c r="D33" s="1" t="s">
        <v>46</v>
      </c>
      <c r="E33" s="1">
        <f t="shared" si="1"/>
        <v>84.9</v>
      </c>
      <c r="F33" s="1">
        <v>6</v>
      </c>
      <c r="G33" s="1">
        <v>2</v>
      </c>
      <c r="H33" s="1">
        <v>1</v>
      </c>
      <c r="I33" s="1">
        <v>0.1</v>
      </c>
      <c r="J33" s="1">
        <v>0</v>
      </c>
      <c r="K33" s="1">
        <v>0</v>
      </c>
      <c r="L33" s="1">
        <v>6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25</v>
      </c>
      <c r="U33" s="1">
        <v>0</v>
      </c>
      <c r="V33" s="1">
        <v>450</v>
      </c>
      <c r="W33" s="1">
        <v>85</v>
      </c>
      <c r="X33" s="1">
        <v>25</v>
      </c>
      <c r="Y33" s="1">
        <v>0</v>
      </c>
      <c r="Z33" s="5">
        <v>0</v>
      </c>
      <c r="AA33" s="5">
        <v>25</v>
      </c>
      <c r="AB33" s="5">
        <v>0</v>
      </c>
      <c r="AC33" s="1">
        <v>25</v>
      </c>
      <c r="AD33" s="1">
        <v>1E-3</v>
      </c>
      <c r="AE33" s="1">
        <v>747</v>
      </c>
      <c r="AF33" s="1">
        <v>928</v>
      </c>
      <c r="AG33" s="1">
        <v>2.4</v>
      </c>
    </row>
    <row r="34" spans="1:33" ht="30.6" customHeight="1" x14ac:dyDescent="0.2">
      <c r="A34" s="18"/>
      <c r="B34" s="4">
        <v>13</v>
      </c>
      <c r="C34" s="1">
        <v>31</v>
      </c>
      <c r="D34" s="1" t="s">
        <v>41</v>
      </c>
      <c r="E34" s="1">
        <f t="shared" si="1"/>
        <v>88.9</v>
      </c>
      <c r="F34" s="1">
        <v>4</v>
      </c>
      <c r="G34" s="1">
        <v>2</v>
      </c>
      <c r="H34" s="1">
        <v>1</v>
      </c>
      <c r="I34" s="1">
        <v>0.1</v>
      </c>
      <c r="J34" s="1">
        <v>0</v>
      </c>
      <c r="K34" s="1">
        <v>0</v>
      </c>
      <c r="L34" s="1">
        <v>4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25</v>
      </c>
      <c r="U34" s="1">
        <v>0</v>
      </c>
      <c r="V34" s="1">
        <v>450</v>
      </c>
      <c r="W34" s="1">
        <v>85</v>
      </c>
      <c r="X34" s="1">
        <v>1450</v>
      </c>
      <c r="Y34" s="1">
        <v>1</v>
      </c>
      <c r="Z34" s="5">
        <v>0</v>
      </c>
      <c r="AA34" s="5">
        <v>25</v>
      </c>
      <c r="AB34" s="5">
        <v>0</v>
      </c>
      <c r="AC34" s="1">
        <v>25</v>
      </c>
      <c r="AD34" s="1">
        <v>1E-3</v>
      </c>
      <c r="AE34" s="1">
        <v>281</v>
      </c>
      <c r="AF34" s="1">
        <v>466</v>
      </c>
      <c r="AG34" s="1">
        <v>38.799999999999997</v>
      </c>
    </row>
    <row r="35" spans="1:33" x14ac:dyDescent="0.2">
      <c r="A35" s="18"/>
      <c r="B35" s="4">
        <v>13</v>
      </c>
      <c r="C35" s="1">
        <v>32</v>
      </c>
      <c r="D35" s="1" t="s">
        <v>42</v>
      </c>
      <c r="E35" s="1">
        <f t="shared" si="1"/>
        <v>87.9</v>
      </c>
      <c r="F35" s="1">
        <v>4</v>
      </c>
      <c r="G35" s="1">
        <v>2</v>
      </c>
      <c r="H35" s="1">
        <v>1</v>
      </c>
      <c r="I35" s="1">
        <v>0.1</v>
      </c>
      <c r="J35" s="1">
        <v>1</v>
      </c>
      <c r="K35" s="1">
        <v>0</v>
      </c>
      <c r="L35" s="1">
        <v>4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25</v>
      </c>
      <c r="U35" s="1">
        <v>0</v>
      </c>
      <c r="V35" s="1">
        <v>450</v>
      </c>
      <c r="W35" s="1">
        <v>85</v>
      </c>
      <c r="X35" s="1">
        <v>1450</v>
      </c>
      <c r="Y35" s="1">
        <v>1</v>
      </c>
      <c r="Z35" s="5">
        <v>0</v>
      </c>
      <c r="AA35" s="5">
        <v>25</v>
      </c>
      <c r="AB35" s="5">
        <v>0</v>
      </c>
      <c r="AC35" s="1">
        <v>25</v>
      </c>
      <c r="AD35" s="1">
        <v>1E-3</v>
      </c>
      <c r="AE35" s="1">
        <v>328</v>
      </c>
      <c r="AF35" s="1">
        <v>478</v>
      </c>
      <c r="AG35" s="1">
        <v>33</v>
      </c>
    </row>
    <row r="36" spans="1:33" ht="29.1" customHeight="1" x14ac:dyDescent="0.2">
      <c r="A36" s="18"/>
      <c r="B36" s="4">
        <v>13</v>
      </c>
      <c r="C36" s="1">
        <v>33</v>
      </c>
      <c r="D36" s="1" t="s">
        <v>43</v>
      </c>
      <c r="E36" s="1">
        <f t="shared" si="1"/>
        <v>88.95</v>
      </c>
      <c r="F36" s="1">
        <v>4</v>
      </c>
      <c r="G36" s="1">
        <v>2</v>
      </c>
      <c r="H36" s="1">
        <v>1</v>
      </c>
      <c r="I36" s="1">
        <v>0</v>
      </c>
      <c r="J36" s="1">
        <v>0</v>
      </c>
      <c r="K36" s="1">
        <v>0</v>
      </c>
      <c r="L36" s="1">
        <v>4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0.05</v>
      </c>
      <c r="S36" s="1">
        <v>0</v>
      </c>
      <c r="T36" s="1">
        <v>25</v>
      </c>
      <c r="U36" s="1">
        <v>0</v>
      </c>
      <c r="V36" s="1">
        <v>450</v>
      </c>
      <c r="W36" s="1">
        <v>85</v>
      </c>
      <c r="X36" s="1">
        <v>1450</v>
      </c>
      <c r="Y36" s="1">
        <v>1</v>
      </c>
      <c r="Z36" s="5">
        <v>0</v>
      </c>
      <c r="AA36" s="5">
        <v>25</v>
      </c>
      <c r="AB36" s="5">
        <v>0</v>
      </c>
      <c r="AC36" s="1">
        <v>25</v>
      </c>
      <c r="AD36" s="1">
        <v>1E-3</v>
      </c>
      <c r="AE36" s="1">
        <v>323</v>
      </c>
      <c r="AF36" s="1">
        <v>447</v>
      </c>
      <c r="AG36" s="1">
        <v>33</v>
      </c>
    </row>
    <row r="37" spans="1:33" x14ac:dyDescent="0.2">
      <c r="A37" s="18"/>
      <c r="B37" s="4">
        <v>13</v>
      </c>
      <c r="C37" s="1">
        <v>34</v>
      </c>
      <c r="D37" s="1" t="s">
        <v>44</v>
      </c>
      <c r="E37" s="1">
        <f t="shared" si="1"/>
        <v>87.95</v>
      </c>
      <c r="F37" s="1">
        <v>4</v>
      </c>
      <c r="G37" s="1">
        <v>2</v>
      </c>
      <c r="H37" s="1">
        <v>1</v>
      </c>
      <c r="I37" s="1">
        <v>0</v>
      </c>
      <c r="J37" s="1">
        <v>1</v>
      </c>
      <c r="K37" s="1">
        <v>0</v>
      </c>
      <c r="L37" s="1">
        <v>4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0.05</v>
      </c>
      <c r="S37" s="1">
        <v>0</v>
      </c>
      <c r="T37" s="1">
        <v>25</v>
      </c>
      <c r="U37" s="1">
        <v>0</v>
      </c>
      <c r="V37" s="1">
        <v>450</v>
      </c>
      <c r="W37" s="1">
        <v>85</v>
      </c>
      <c r="X37" s="1">
        <v>1450</v>
      </c>
      <c r="Y37" s="1">
        <v>1</v>
      </c>
      <c r="Z37" s="5">
        <v>0</v>
      </c>
      <c r="AA37" s="5">
        <v>25</v>
      </c>
      <c r="AB37" s="5">
        <v>0</v>
      </c>
      <c r="AC37" s="1">
        <v>25</v>
      </c>
      <c r="AD37" s="1">
        <v>1E-3</v>
      </c>
      <c r="AE37" s="1">
        <v>348</v>
      </c>
      <c r="AF37" s="1">
        <v>457</v>
      </c>
      <c r="AG37" s="1">
        <v>28</v>
      </c>
    </row>
    <row r="38" spans="1:33" x14ac:dyDescent="0.2">
      <c r="A38" s="18"/>
      <c r="B38" s="4">
        <v>13</v>
      </c>
      <c r="C38" s="1">
        <v>35</v>
      </c>
      <c r="D38" s="1" t="s">
        <v>47</v>
      </c>
      <c r="E38" s="1">
        <f t="shared" si="1"/>
        <v>87.9</v>
      </c>
      <c r="F38" s="1">
        <v>4</v>
      </c>
      <c r="G38" s="1">
        <v>2</v>
      </c>
      <c r="H38" s="1">
        <v>1</v>
      </c>
      <c r="I38" s="1">
        <v>0.1</v>
      </c>
      <c r="J38" s="1">
        <v>0</v>
      </c>
      <c r="K38" s="1">
        <v>0</v>
      </c>
      <c r="L38" s="1">
        <v>4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25</v>
      </c>
      <c r="U38" s="1">
        <v>0</v>
      </c>
      <c r="V38" s="1">
        <v>450</v>
      </c>
      <c r="W38" s="1">
        <v>85</v>
      </c>
      <c r="X38" s="1">
        <v>1450</v>
      </c>
      <c r="Y38" s="1">
        <v>1</v>
      </c>
      <c r="Z38" s="5">
        <v>0</v>
      </c>
      <c r="AA38" s="5">
        <v>25</v>
      </c>
      <c r="AB38" s="5">
        <v>0</v>
      </c>
      <c r="AC38" s="1">
        <v>25</v>
      </c>
      <c r="AD38" s="1">
        <v>1E-3</v>
      </c>
      <c r="AE38" s="1">
        <v>403</v>
      </c>
      <c r="AF38" s="1">
        <v>530</v>
      </c>
      <c r="AG38" s="1">
        <v>21</v>
      </c>
    </row>
    <row r="39" spans="1:33" ht="18.75" customHeight="1" x14ac:dyDescent="0.2">
      <c r="A39" s="18"/>
      <c r="B39" s="4">
        <v>13</v>
      </c>
      <c r="C39" s="1">
        <v>36</v>
      </c>
      <c r="D39" s="1" t="s">
        <v>45</v>
      </c>
      <c r="E39" s="1">
        <f t="shared" si="1"/>
        <v>87.9</v>
      </c>
      <c r="F39" s="1">
        <v>4</v>
      </c>
      <c r="G39" s="1">
        <v>2</v>
      </c>
      <c r="H39" s="1">
        <v>2</v>
      </c>
      <c r="I39" s="1">
        <v>0.1</v>
      </c>
      <c r="J39" s="1">
        <v>0</v>
      </c>
      <c r="K39" s="1">
        <v>0</v>
      </c>
      <c r="L39" s="1">
        <v>4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25</v>
      </c>
      <c r="U39" s="1">
        <v>0</v>
      </c>
      <c r="V39" s="1">
        <v>450</v>
      </c>
      <c r="W39" s="1">
        <v>85</v>
      </c>
      <c r="X39" s="1">
        <v>1450</v>
      </c>
      <c r="Y39" s="1">
        <v>1</v>
      </c>
      <c r="Z39" s="5">
        <v>0</v>
      </c>
      <c r="AA39" s="5">
        <v>25</v>
      </c>
      <c r="AB39" s="5">
        <v>0</v>
      </c>
      <c r="AC39" s="1">
        <v>25</v>
      </c>
      <c r="AD39" s="1">
        <v>1E-3</v>
      </c>
      <c r="AE39" s="1">
        <v>358</v>
      </c>
      <c r="AF39" s="1">
        <v>533</v>
      </c>
      <c r="AG39" s="1">
        <v>33</v>
      </c>
    </row>
    <row r="40" spans="1:33" ht="26.1" customHeight="1" x14ac:dyDescent="0.2">
      <c r="A40" s="18"/>
      <c r="B40" s="4">
        <v>13</v>
      </c>
      <c r="C40" s="1">
        <v>37</v>
      </c>
      <c r="D40" s="1" t="s">
        <v>46</v>
      </c>
      <c r="E40" s="1">
        <f t="shared" si="1"/>
        <v>84.9</v>
      </c>
      <c r="F40" s="1">
        <v>6</v>
      </c>
      <c r="G40" s="1">
        <v>2</v>
      </c>
      <c r="H40" s="1">
        <v>1</v>
      </c>
      <c r="I40" s="1">
        <v>0.1</v>
      </c>
      <c r="J40" s="1">
        <v>0</v>
      </c>
      <c r="K40" s="1">
        <v>0</v>
      </c>
      <c r="L40" s="1">
        <v>6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25</v>
      </c>
      <c r="U40" s="1">
        <v>0</v>
      </c>
      <c r="V40" s="1">
        <v>450</v>
      </c>
      <c r="W40" s="1">
        <v>85</v>
      </c>
      <c r="X40" s="1">
        <v>1450</v>
      </c>
      <c r="Y40" s="1">
        <v>1</v>
      </c>
      <c r="Z40" s="5">
        <v>0</v>
      </c>
      <c r="AA40" s="5">
        <v>25</v>
      </c>
      <c r="AB40" s="5">
        <v>0</v>
      </c>
      <c r="AC40" s="1">
        <v>25</v>
      </c>
      <c r="AD40" s="1">
        <v>1E-3</v>
      </c>
      <c r="AE40" s="1">
        <v>359</v>
      </c>
      <c r="AF40" s="1">
        <v>577</v>
      </c>
      <c r="AG40" s="1">
        <v>33</v>
      </c>
    </row>
    <row r="41" spans="1:33" x14ac:dyDescent="0.2">
      <c r="A41" s="18"/>
      <c r="B41" s="4">
        <v>13</v>
      </c>
      <c r="C41" s="1">
        <v>38</v>
      </c>
      <c r="D41" s="1" t="s">
        <v>41</v>
      </c>
      <c r="E41" s="1">
        <f t="shared" si="1"/>
        <v>88.9</v>
      </c>
      <c r="F41" s="1">
        <v>4</v>
      </c>
      <c r="G41" s="1">
        <v>2</v>
      </c>
      <c r="H41" s="1">
        <v>1</v>
      </c>
      <c r="I41" s="1">
        <v>0.1</v>
      </c>
      <c r="J41" s="1">
        <v>0</v>
      </c>
      <c r="K41" s="1">
        <v>0</v>
      </c>
      <c r="L41" s="1">
        <v>4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25</v>
      </c>
      <c r="U41" s="1">
        <v>0</v>
      </c>
      <c r="V41" s="1">
        <v>450</v>
      </c>
      <c r="W41" s="1">
        <v>85</v>
      </c>
      <c r="X41" s="1">
        <v>1600</v>
      </c>
      <c r="Y41" s="1">
        <v>4</v>
      </c>
      <c r="Z41" s="5">
        <v>0</v>
      </c>
      <c r="AA41" s="5">
        <v>25</v>
      </c>
      <c r="AB41" s="5">
        <v>0</v>
      </c>
      <c r="AC41" s="1">
        <v>25</v>
      </c>
      <c r="AD41" s="1">
        <v>1E-3</v>
      </c>
      <c r="AE41" s="1">
        <v>330</v>
      </c>
      <c r="AF41" s="1">
        <v>469</v>
      </c>
      <c r="AG41" s="1">
        <v>31</v>
      </c>
    </row>
    <row r="42" spans="1:33" x14ac:dyDescent="0.2">
      <c r="A42" s="18"/>
      <c r="B42" s="4">
        <v>13</v>
      </c>
      <c r="C42" s="1">
        <v>39</v>
      </c>
      <c r="D42" s="1" t="s">
        <v>42</v>
      </c>
      <c r="E42" s="1">
        <f t="shared" si="1"/>
        <v>87.9</v>
      </c>
      <c r="F42" s="1">
        <v>4</v>
      </c>
      <c r="G42" s="1">
        <v>2</v>
      </c>
      <c r="H42" s="1">
        <v>1</v>
      </c>
      <c r="I42" s="1">
        <v>0.1</v>
      </c>
      <c r="J42" s="1">
        <v>1</v>
      </c>
      <c r="K42" s="1">
        <v>0</v>
      </c>
      <c r="L42" s="1">
        <v>4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25</v>
      </c>
      <c r="U42" s="1">
        <v>0</v>
      </c>
      <c r="V42" s="1">
        <v>450</v>
      </c>
      <c r="W42" s="1">
        <v>85</v>
      </c>
      <c r="X42" s="1">
        <v>1600</v>
      </c>
      <c r="Y42" s="1">
        <v>4</v>
      </c>
      <c r="Z42" s="5">
        <v>0</v>
      </c>
      <c r="AA42" s="5">
        <v>25</v>
      </c>
      <c r="AB42" s="5">
        <v>0</v>
      </c>
      <c r="AC42" s="1">
        <v>25</v>
      </c>
      <c r="AD42" s="1">
        <v>1E-3</v>
      </c>
      <c r="AE42" s="1">
        <v>296</v>
      </c>
      <c r="AF42" s="1">
        <v>452</v>
      </c>
      <c r="AG42" s="1">
        <v>40</v>
      </c>
    </row>
    <row r="43" spans="1:33" x14ac:dyDescent="0.2">
      <c r="A43" s="18"/>
      <c r="B43" s="4">
        <v>13</v>
      </c>
      <c r="C43" s="1">
        <v>40</v>
      </c>
      <c r="D43" s="1" t="s">
        <v>43</v>
      </c>
      <c r="E43" s="1">
        <f t="shared" si="1"/>
        <v>88.95</v>
      </c>
      <c r="F43" s="1">
        <v>4</v>
      </c>
      <c r="G43" s="1">
        <v>2</v>
      </c>
      <c r="H43" s="1">
        <v>1</v>
      </c>
      <c r="I43" s="1">
        <v>0</v>
      </c>
      <c r="J43" s="1">
        <v>0</v>
      </c>
      <c r="K43" s="1">
        <v>0</v>
      </c>
      <c r="L43" s="1">
        <v>4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0.05</v>
      </c>
      <c r="S43" s="1">
        <v>0</v>
      </c>
      <c r="T43" s="1">
        <v>25</v>
      </c>
      <c r="U43" s="1">
        <v>0</v>
      </c>
      <c r="V43" s="1">
        <v>450</v>
      </c>
      <c r="W43" s="1">
        <v>85</v>
      </c>
      <c r="X43" s="1">
        <v>1600</v>
      </c>
      <c r="Y43" s="1">
        <v>4</v>
      </c>
      <c r="Z43" s="5">
        <v>0</v>
      </c>
      <c r="AA43" s="5">
        <v>25</v>
      </c>
      <c r="AB43" s="5">
        <v>0</v>
      </c>
      <c r="AC43" s="1">
        <v>25</v>
      </c>
      <c r="AD43" s="1">
        <v>1E-3</v>
      </c>
      <c r="AE43" s="1">
        <v>230</v>
      </c>
      <c r="AF43" s="1">
        <v>309</v>
      </c>
      <c r="AG43" s="1">
        <v>20</v>
      </c>
    </row>
    <row r="44" spans="1:33" x14ac:dyDescent="0.2">
      <c r="A44" s="18"/>
      <c r="B44" s="4">
        <v>13</v>
      </c>
      <c r="C44" s="1">
        <v>41</v>
      </c>
      <c r="D44" s="1" t="s">
        <v>44</v>
      </c>
      <c r="E44" s="1">
        <f t="shared" si="1"/>
        <v>87.95</v>
      </c>
      <c r="F44" s="1">
        <v>4</v>
      </c>
      <c r="G44" s="1">
        <v>2</v>
      </c>
      <c r="H44" s="1">
        <v>1</v>
      </c>
      <c r="I44" s="1">
        <v>0</v>
      </c>
      <c r="J44" s="1">
        <v>1</v>
      </c>
      <c r="K44" s="1">
        <v>0</v>
      </c>
      <c r="L44" s="1">
        <v>4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0.05</v>
      </c>
      <c r="S44" s="1">
        <v>0</v>
      </c>
      <c r="T44" s="1">
        <v>25</v>
      </c>
      <c r="U44" s="1">
        <v>0</v>
      </c>
      <c r="V44" s="1">
        <v>450</v>
      </c>
      <c r="W44" s="1">
        <v>85</v>
      </c>
      <c r="X44" s="1">
        <v>1600</v>
      </c>
      <c r="Y44" s="1">
        <v>4</v>
      </c>
      <c r="Z44" s="5">
        <v>0</v>
      </c>
      <c r="AA44" s="5">
        <v>25</v>
      </c>
      <c r="AB44" s="5">
        <v>0</v>
      </c>
      <c r="AC44" s="1">
        <v>25</v>
      </c>
      <c r="AD44" s="1">
        <v>1E-3</v>
      </c>
      <c r="AE44" s="1">
        <v>374</v>
      </c>
      <c r="AF44" s="1">
        <v>484</v>
      </c>
      <c r="AG44" s="1">
        <v>35</v>
      </c>
    </row>
    <row r="45" spans="1:33" x14ac:dyDescent="0.2">
      <c r="A45" s="18"/>
      <c r="B45" s="4">
        <v>13</v>
      </c>
      <c r="C45" s="1">
        <v>42</v>
      </c>
      <c r="D45" s="1" t="s">
        <v>47</v>
      </c>
      <c r="E45" s="1">
        <f t="shared" si="1"/>
        <v>87.9</v>
      </c>
      <c r="F45" s="1">
        <v>4</v>
      </c>
      <c r="G45" s="1">
        <v>2</v>
      </c>
      <c r="H45" s="1">
        <v>1</v>
      </c>
      <c r="I45" s="1">
        <v>0.1</v>
      </c>
      <c r="J45" s="1">
        <v>0</v>
      </c>
      <c r="K45" s="1">
        <v>0</v>
      </c>
      <c r="L45" s="1">
        <v>4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0</v>
      </c>
      <c r="T45" s="1">
        <v>25</v>
      </c>
      <c r="U45" s="1">
        <v>0</v>
      </c>
      <c r="V45" s="1">
        <v>450</v>
      </c>
      <c r="W45" s="1">
        <v>85</v>
      </c>
      <c r="X45" s="1">
        <v>1600</v>
      </c>
      <c r="Y45" s="1">
        <v>4</v>
      </c>
      <c r="Z45" s="5">
        <v>0</v>
      </c>
      <c r="AA45" s="5">
        <v>25</v>
      </c>
      <c r="AB45" s="5">
        <v>0</v>
      </c>
      <c r="AC45" s="1">
        <v>25</v>
      </c>
      <c r="AD45" s="1">
        <v>1E-3</v>
      </c>
      <c r="AE45" s="1">
        <v>463</v>
      </c>
      <c r="AF45" s="1">
        <v>622</v>
      </c>
      <c r="AG45" s="1">
        <v>17</v>
      </c>
    </row>
    <row r="46" spans="1:33" x14ac:dyDescent="0.2">
      <c r="A46" s="18"/>
      <c r="B46" s="4">
        <v>13</v>
      </c>
      <c r="C46" s="1">
        <v>43</v>
      </c>
      <c r="D46" s="1" t="s">
        <v>45</v>
      </c>
      <c r="E46" s="1">
        <f t="shared" si="1"/>
        <v>87.9</v>
      </c>
      <c r="F46" s="1">
        <v>4</v>
      </c>
      <c r="G46" s="1">
        <v>2</v>
      </c>
      <c r="H46" s="1">
        <v>2</v>
      </c>
      <c r="I46" s="1">
        <v>0.1</v>
      </c>
      <c r="J46" s="1">
        <v>0</v>
      </c>
      <c r="K46" s="1">
        <v>0</v>
      </c>
      <c r="L46" s="1">
        <v>4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25</v>
      </c>
      <c r="U46" s="1">
        <v>0</v>
      </c>
      <c r="V46" s="1">
        <v>450</v>
      </c>
      <c r="W46" s="1">
        <v>85</v>
      </c>
      <c r="X46" s="1">
        <v>1600</v>
      </c>
      <c r="Y46" s="1">
        <v>4</v>
      </c>
      <c r="Z46" s="5">
        <v>0</v>
      </c>
      <c r="AA46" s="5">
        <v>25</v>
      </c>
      <c r="AB46" s="5">
        <v>0</v>
      </c>
      <c r="AC46" s="1">
        <v>25</v>
      </c>
      <c r="AD46" s="1">
        <v>1E-3</v>
      </c>
      <c r="AE46" s="1">
        <v>381</v>
      </c>
      <c r="AF46" s="1">
        <v>508</v>
      </c>
      <c r="AG46" s="1">
        <v>32</v>
      </c>
    </row>
    <row r="47" spans="1:33" x14ac:dyDescent="0.2">
      <c r="A47" s="18"/>
      <c r="B47" s="4">
        <v>13</v>
      </c>
      <c r="C47" s="1">
        <v>44</v>
      </c>
      <c r="D47" s="1" t="s">
        <v>46</v>
      </c>
      <c r="E47" s="1">
        <f t="shared" si="1"/>
        <v>84.9</v>
      </c>
      <c r="F47" s="1">
        <v>6</v>
      </c>
      <c r="G47" s="1">
        <v>2</v>
      </c>
      <c r="H47" s="1">
        <v>1</v>
      </c>
      <c r="I47" s="1">
        <v>0.1</v>
      </c>
      <c r="J47" s="1">
        <v>0</v>
      </c>
      <c r="K47" s="1">
        <v>0</v>
      </c>
      <c r="L47" s="1">
        <v>6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25</v>
      </c>
      <c r="U47" s="1">
        <v>0</v>
      </c>
      <c r="V47" s="1">
        <v>450</v>
      </c>
      <c r="W47" s="1">
        <v>85</v>
      </c>
      <c r="X47" s="1">
        <v>1600</v>
      </c>
      <c r="Y47" s="1">
        <v>4</v>
      </c>
      <c r="Z47" s="5">
        <v>0</v>
      </c>
      <c r="AA47" s="5">
        <v>25</v>
      </c>
      <c r="AB47" s="5">
        <v>0</v>
      </c>
      <c r="AC47" s="1">
        <v>25</v>
      </c>
      <c r="AD47" s="1">
        <v>1E-3</v>
      </c>
      <c r="AE47" s="1">
        <v>361</v>
      </c>
      <c r="AF47" s="1">
        <v>524</v>
      </c>
      <c r="AG47" s="1">
        <v>26</v>
      </c>
    </row>
    <row r="48" spans="1:33" x14ac:dyDescent="0.2">
      <c r="A48" s="18"/>
      <c r="B48" s="4">
        <v>13</v>
      </c>
      <c r="C48" s="1">
        <v>45</v>
      </c>
      <c r="D48" s="2" t="s">
        <v>50</v>
      </c>
      <c r="E48" s="1">
        <f t="shared" si="1"/>
        <v>91.4</v>
      </c>
      <c r="F48" s="1">
        <v>2</v>
      </c>
      <c r="G48" s="1">
        <v>2</v>
      </c>
      <c r="H48" s="1">
        <v>0.5</v>
      </c>
      <c r="I48" s="1">
        <v>0.05</v>
      </c>
      <c r="J48" s="1">
        <v>0</v>
      </c>
      <c r="K48" s="1">
        <v>0</v>
      </c>
      <c r="L48" s="1">
        <v>4</v>
      </c>
      <c r="M48" s="1">
        <v>0.05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25</v>
      </c>
      <c r="U48" s="1">
        <v>0</v>
      </c>
      <c r="V48" s="1">
        <v>450</v>
      </c>
      <c r="W48" s="1">
        <v>85</v>
      </c>
      <c r="X48" s="1">
        <v>25</v>
      </c>
      <c r="Y48" s="1">
        <v>0</v>
      </c>
      <c r="Z48" s="5">
        <v>0</v>
      </c>
      <c r="AA48" s="5">
        <v>25</v>
      </c>
      <c r="AB48" s="5">
        <v>0</v>
      </c>
      <c r="AC48" s="1">
        <v>25</v>
      </c>
      <c r="AD48" s="1">
        <v>1E-3</v>
      </c>
      <c r="AE48" s="1">
        <v>808</v>
      </c>
      <c r="AF48" s="1">
        <v>866</v>
      </c>
      <c r="AG48" s="1">
        <v>5.8</v>
      </c>
    </row>
    <row r="49" spans="1:33" x14ac:dyDescent="0.3">
      <c r="A49" s="18"/>
      <c r="B49" s="4">
        <v>13</v>
      </c>
      <c r="C49" s="1">
        <v>46</v>
      </c>
      <c r="D49" s="8" t="s">
        <v>51</v>
      </c>
      <c r="E49" s="1">
        <f t="shared" si="1"/>
        <v>90.4</v>
      </c>
      <c r="F49" s="1">
        <v>3</v>
      </c>
      <c r="G49" s="1">
        <v>2</v>
      </c>
      <c r="H49" s="1">
        <v>0.5</v>
      </c>
      <c r="I49" s="1">
        <v>0.05</v>
      </c>
      <c r="J49" s="1">
        <v>1</v>
      </c>
      <c r="K49" s="1">
        <v>0</v>
      </c>
      <c r="L49" s="1">
        <v>3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0.05</v>
      </c>
      <c r="S49" s="1">
        <v>0</v>
      </c>
      <c r="T49" s="1">
        <v>25</v>
      </c>
      <c r="U49" s="1">
        <v>0</v>
      </c>
      <c r="V49" s="1">
        <v>450</v>
      </c>
      <c r="W49" s="1">
        <v>85</v>
      </c>
      <c r="X49" s="1">
        <v>25</v>
      </c>
      <c r="Y49" s="1">
        <v>0</v>
      </c>
      <c r="Z49" s="5">
        <v>0</v>
      </c>
      <c r="AA49" s="5">
        <v>25</v>
      </c>
      <c r="AB49" s="5">
        <v>0</v>
      </c>
      <c r="AC49" s="1">
        <v>25</v>
      </c>
      <c r="AD49" s="1">
        <v>1E-3</v>
      </c>
      <c r="AE49" s="1">
        <v>723</v>
      </c>
      <c r="AF49" s="1">
        <v>770</v>
      </c>
      <c r="AG49" s="1">
        <v>4.5999999999999996</v>
      </c>
    </row>
    <row r="50" spans="1:33" x14ac:dyDescent="0.2">
      <c r="A50" s="18"/>
      <c r="B50" s="4">
        <v>13</v>
      </c>
      <c r="C50" s="1">
        <v>47</v>
      </c>
      <c r="D50" s="2" t="s">
        <v>50</v>
      </c>
      <c r="E50" s="1">
        <f t="shared" si="1"/>
        <v>91.4</v>
      </c>
      <c r="F50" s="1">
        <v>2</v>
      </c>
      <c r="G50" s="1">
        <v>2</v>
      </c>
      <c r="H50" s="1">
        <v>0.5</v>
      </c>
      <c r="I50" s="1">
        <v>0.05</v>
      </c>
      <c r="J50" s="1">
        <v>0</v>
      </c>
      <c r="K50" s="1">
        <v>0</v>
      </c>
      <c r="L50" s="1">
        <v>4</v>
      </c>
      <c r="M50" s="1">
        <v>0.05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1800</v>
      </c>
      <c r="U50" s="1">
        <v>2</v>
      </c>
      <c r="V50" s="1">
        <v>450</v>
      </c>
      <c r="W50" s="1">
        <v>85</v>
      </c>
      <c r="X50" s="1">
        <v>1450</v>
      </c>
      <c r="Y50" s="1">
        <v>1</v>
      </c>
      <c r="Z50" s="5">
        <v>0</v>
      </c>
      <c r="AA50" s="5">
        <v>25</v>
      </c>
      <c r="AB50" s="5">
        <v>0</v>
      </c>
      <c r="AC50" s="1">
        <v>25</v>
      </c>
      <c r="AD50" s="1">
        <v>1E-3</v>
      </c>
      <c r="AE50" s="1">
        <v>357</v>
      </c>
      <c r="AF50" s="1">
        <v>483</v>
      </c>
      <c r="AG50" s="1">
        <v>23.4</v>
      </c>
    </row>
    <row r="51" spans="1:33" x14ac:dyDescent="0.3">
      <c r="A51" s="18"/>
      <c r="B51" s="4">
        <v>13</v>
      </c>
      <c r="C51" s="1">
        <v>48</v>
      </c>
      <c r="D51" s="8" t="s">
        <v>51</v>
      </c>
      <c r="E51" s="1">
        <f t="shared" si="1"/>
        <v>90.4</v>
      </c>
      <c r="F51" s="1">
        <v>3</v>
      </c>
      <c r="G51" s="1">
        <v>2</v>
      </c>
      <c r="H51" s="1">
        <v>0.5</v>
      </c>
      <c r="I51" s="1">
        <v>0.05</v>
      </c>
      <c r="J51" s="1">
        <v>1</v>
      </c>
      <c r="K51" s="1">
        <v>0</v>
      </c>
      <c r="L51" s="1">
        <v>3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0.05</v>
      </c>
      <c r="S51" s="1">
        <v>0</v>
      </c>
      <c r="T51" s="1">
        <v>1800</v>
      </c>
      <c r="U51" s="1">
        <v>2</v>
      </c>
      <c r="V51" s="1">
        <v>450</v>
      </c>
      <c r="W51" s="1">
        <v>85</v>
      </c>
      <c r="X51" s="1">
        <v>1450</v>
      </c>
      <c r="Y51" s="1">
        <v>1</v>
      </c>
      <c r="Z51" s="5">
        <v>0</v>
      </c>
      <c r="AA51" s="5">
        <v>25</v>
      </c>
      <c r="AB51" s="5">
        <v>0</v>
      </c>
      <c r="AC51" s="1">
        <v>25</v>
      </c>
      <c r="AD51" s="1">
        <v>1E-3</v>
      </c>
      <c r="AE51" s="1">
        <v>288</v>
      </c>
      <c r="AF51" s="1">
        <v>438</v>
      </c>
      <c r="AG51" s="1">
        <v>31.4</v>
      </c>
    </row>
    <row r="52" spans="1:33" x14ac:dyDescent="0.3">
      <c r="A52" s="18"/>
      <c r="B52" s="4">
        <v>13</v>
      </c>
      <c r="C52" s="1">
        <v>49</v>
      </c>
      <c r="D52" s="8" t="s">
        <v>52</v>
      </c>
      <c r="E52" s="1">
        <f t="shared" si="1"/>
        <v>80.45</v>
      </c>
      <c r="F52" s="1">
        <v>4.5</v>
      </c>
      <c r="G52" s="1">
        <v>0</v>
      </c>
      <c r="H52" s="1">
        <v>0</v>
      </c>
      <c r="I52" s="1">
        <v>0</v>
      </c>
      <c r="J52" s="1">
        <v>15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0.05</v>
      </c>
      <c r="S52" s="1">
        <v>0</v>
      </c>
      <c r="T52" s="1">
        <v>1800</v>
      </c>
      <c r="U52" s="1">
        <v>2</v>
      </c>
      <c r="V52" s="1">
        <v>450</v>
      </c>
      <c r="W52" s="1">
        <v>85</v>
      </c>
      <c r="X52" s="1">
        <v>1450</v>
      </c>
      <c r="Y52" s="1">
        <v>1</v>
      </c>
      <c r="Z52" s="5">
        <v>0</v>
      </c>
      <c r="AA52" s="5">
        <v>25</v>
      </c>
      <c r="AB52" s="5">
        <v>0</v>
      </c>
      <c r="AC52" s="1">
        <v>25</v>
      </c>
      <c r="AD52" s="1">
        <v>1E-3</v>
      </c>
      <c r="AE52" s="1">
        <v>330</v>
      </c>
      <c r="AF52" s="1">
        <v>566</v>
      </c>
      <c r="AG52" s="1">
        <v>33.200000000000003</v>
      </c>
    </row>
    <row r="53" spans="1:33" x14ac:dyDescent="0.3">
      <c r="A53" s="18"/>
      <c r="B53" s="4">
        <v>13</v>
      </c>
      <c r="C53" s="1">
        <v>50</v>
      </c>
      <c r="D53" s="8" t="s">
        <v>53</v>
      </c>
      <c r="E53" s="1">
        <f t="shared" si="1"/>
        <v>87.4</v>
      </c>
      <c r="F53" s="1">
        <v>2</v>
      </c>
      <c r="G53" s="1">
        <v>2</v>
      </c>
      <c r="H53" s="1">
        <v>0.5</v>
      </c>
      <c r="I53" s="1">
        <v>0.05</v>
      </c>
      <c r="J53" s="1">
        <v>0</v>
      </c>
      <c r="K53" s="1">
        <v>0</v>
      </c>
      <c r="L53" s="1">
        <v>8</v>
      </c>
      <c r="M53" s="1">
        <v>0.05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1800</v>
      </c>
      <c r="U53" s="1">
        <v>2</v>
      </c>
      <c r="V53" s="1">
        <v>450</v>
      </c>
      <c r="W53" s="1">
        <v>85</v>
      </c>
      <c r="X53" s="1">
        <v>1450</v>
      </c>
      <c r="Y53" s="1">
        <v>1</v>
      </c>
      <c r="Z53" s="5">
        <v>0</v>
      </c>
      <c r="AA53" s="5">
        <v>25</v>
      </c>
      <c r="AB53" s="5">
        <v>0</v>
      </c>
      <c r="AC53" s="1">
        <v>25</v>
      </c>
      <c r="AD53" s="1">
        <v>1E-3</v>
      </c>
      <c r="AE53" s="1">
        <v>350</v>
      </c>
      <c r="AF53" s="1">
        <v>488</v>
      </c>
      <c r="AG53" s="1">
        <v>31.1</v>
      </c>
    </row>
    <row r="54" spans="1:33" x14ac:dyDescent="0.3">
      <c r="A54" s="18"/>
      <c r="B54" s="4">
        <v>13</v>
      </c>
      <c r="C54" s="1">
        <v>51</v>
      </c>
      <c r="D54" s="8" t="s">
        <v>54</v>
      </c>
      <c r="E54" s="1">
        <f t="shared" si="1"/>
        <v>84.4</v>
      </c>
      <c r="F54" s="1">
        <v>5</v>
      </c>
      <c r="G54" s="1">
        <v>2</v>
      </c>
      <c r="H54" s="1">
        <v>1</v>
      </c>
      <c r="I54" s="1">
        <v>0.1</v>
      </c>
      <c r="J54" s="1">
        <v>1.5</v>
      </c>
      <c r="K54" s="1">
        <v>0</v>
      </c>
      <c r="L54" s="1">
        <v>6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1800</v>
      </c>
      <c r="U54" s="1">
        <v>2</v>
      </c>
      <c r="V54" s="1">
        <v>450</v>
      </c>
      <c r="W54" s="1">
        <v>85</v>
      </c>
      <c r="X54" s="1">
        <v>1450</v>
      </c>
      <c r="Y54" s="1">
        <v>1</v>
      </c>
      <c r="Z54" s="5">
        <v>0</v>
      </c>
      <c r="AA54" s="5">
        <v>25</v>
      </c>
      <c r="AB54" s="5">
        <v>0</v>
      </c>
      <c r="AC54" s="1">
        <v>25</v>
      </c>
      <c r="AD54" s="1">
        <v>1E-3</v>
      </c>
      <c r="AE54" s="1">
        <v>375</v>
      </c>
      <c r="AF54" s="1">
        <v>523</v>
      </c>
      <c r="AG54" s="1">
        <v>34.1</v>
      </c>
    </row>
    <row r="55" spans="1:33" x14ac:dyDescent="0.3">
      <c r="A55" s="18"/>
      <c r="B55" s="4">
        <v>13</v>
      </c>
      <c r="C55" s="1">
        <v>52</v>
      </c>
      <c r="D55" s="8" t="s">
        <v>55</v>
      </c>
      <c r="E55" s="1">
        <f t="shared" si="1"/>
        <v>94.3</v>
      </c>
      <c r="F55" s="1">
        <v>2</v>
      </c>
      <c r="G55" s="1">
        <v>2</v>
      </c>
      <c r="H55" s="1">
        <v>0.5</v>
      </c>
      <c r="I55" s="1">
        <v>0.05</v>
      </c>
      <c r="J55" s="1">
        <v>1</v>
      </c>
      <c r="K55" s="1">
        <v>0</v>
      </c>
      <c r="L55" s="1">
        <v>0</v>
      </c>
      <c r="M55" s="1">
        <v>0.04</v>
      </c>
      <c r="N55" s="1">
        <v>0</v>
      </c>
      <c r="O55" s="1">
        <v>0</v>
      </c>
      <c r="P55" s="1">
        <v>0</v>
      </c>
      <c r="Q55" s="1">
        <v>0</v>
      </c>
      <c r="R55" s="1">
        <v>0.05</v>
      </c>
      <c r="S55" s="1">
        <v>0.06</v>
      </c>
      <c r="T55" s="1">
        <v>1800</v>
      </c>
      <c r="U55" s="1">
        <v>2</v>
      </c>
      <c r="V55" s="1">
        <v>450</v>
      </c>
      <c r="W55" s="1">
        <v>85</v>
      </c>
      <c r="X55" s="1">
        <v>1450</v>
      </c>
      <c r="Y55" s="1">
        <v>1</v>
      </c>
      <c r="Z55" s="5">
        <v>0</v>
      </c>
      <c r="AA55" s="5">
        <v>25</v>
      </c>
      <c r="AB55" s="5">
        <v>0</v>
      </c>
      <c r="AC55" s="1">
        <v>25</v>
      </c>
      <c r="AD55" s="1">
        <v>1E-3</v>
      </c>
      <c r="AE55" s="1">
        <v>303</v>
      </c>
      <c r="AF55" s="1">
        <v>471</v>
      </c>
      <c r="AG55" s="1">
        <v>29.7</v>
      </c>
    </row>
    <row r="56" spans="1:33" x14ac:dyDescent="0.2">
      <c r="A56" s="18"/>
      <c r="B56" s="4">
        <v>13</v>
      </c>
      <c r="C56" s="1">
        <v>53</v>
      </c>
      <c r="D56" s="2" t="s">
        <v>50</v>
      </c>
      <c r="E56" s="1">
        <f t="shared" si="1"/>
        <v>91.4</v>
      </c>
      <c r="F56" s="1">
        <v>2</v>
      </c>
      <c r="G56" s="1">
        <v>2</v>
      </c>
      <c r="H56" s="1">
        <v>0.5</v>
      </c>
      <c r="I56" s="1">
        <v>0.05</v>
      </c>
      <c r="J56" s="1">
        <v>0</v>
      </c>
      <c r="K56" s="1">
        <v>0</v>
      </c>
      <c r="L56" s="1">
        <v>4</v>
      </c>
      <c r="M56" s="1">
        <v>0.05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1800</v>
      </c>
      <c r="U56" s="1">
        <v>2</v>
      </c>
      <c r="V56" s="1">
        <v>450</v>
      </c>
      <c r="W56" s="1">
        <v>85</v>
      </c>
      <c r="X56" s="1">
        <v>1600</v>
      </c>
      <c r="Y56" s="1">
        <v>4</v>
      </c>
      <c r="Z56" s="5">
        <v>0</v>
      </c>
      <c r="AA56" s="5">
        <v>25</v>
      </c>
      <c r="AB56" s="5">
        <v>0</v>
      </c>
      <c r="AC56" s="1">
        <v>25</v>
      </c>
      <c r="AD56" s="1">
        <v>1E-3</v>
      </c>
      <c r="AE56" s="1">
        <v>379</v>
      </c>
      <c r="AF56" s="1">
        <v>477</v>
      </c>
      <c r="AG56" s="1">
        <v>15.7</v>
      </c>
    </row>
    <row r="57" spans="1:33" x14ac:dyDescent="0.3">
      <c r="A57" s="18"/>
      <c r="B57" s="4">
        <v>13</v>
      </c>
      <c r="C57" s="1">
        <v>54</v>
      </c>
      <c r="D57" s="8" t="s">
        <v>51</v>
      </c>
      <c r="E57" s="1">
        <f t="shared" si="1"/>
        <v>90.4</v>
      </c>
      <c r="F57" s="1">
        <v>3</v>
      </c>
      <c r="G57" s="1">
        <v>2</v>
      </c>
      <c r="H57" s="1">
        <v>0.5</v>
      </c>
      <c r="I57" s="1">
        <v>0.05</v>
      </c>
      <c r="J57" s="1">
        <v>1</v>
      </c>
      <c r="K57" s="1">
        <v>0</v>
      </c>
      <c r="L57" s="1">
        <v>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0.05</v>
      </c>
      <c r="S57" s="1">
        <v>0</v>
      </c>
      <c r="T57" s="1">
        <v>1800</v>
      </c>
      <c r="U57" s="1">
        <v>2</v>
      </c>
      <c r="V57" s="1">
        <v>450</v>
      </c>
      <c r="W57" s="1">
        <v>85</v>
      </c>
      <c r="X57" s="1">
        <v>1600</v>
      </c>
      <c r="Y57" s="1">
        <v>4</v>
      </c>
      <c r="Z57" s="5">
        <v>0</v>
      </c>
      <c r="AA57" s="5">
        <v>25</v>
      </c>
      <c r="AB57" s="5">
        <v>0</v>
      </c>
      <c r="AC57" s="1">
        <v>25</v>
      </c>
      <c r="AD57" s="1">
        <v>1E-3</v>
      </c>
      <c r="AE57" s="1">
        <v>292</v>
      </c>
      <c r="AF57" s="1">
        <v>440</v>
      </c>
      <c r="AG57" s="1">
        <v>28.3</v>
      </c>
    </row>
    <row r="58" spans="1:33" x14ac:dyDescent="0.3">
      <c r="A58" s="18"/>
      <c r="B58" s="4">
        <v>13</v>
      </c>
      <c r="C58" s="1">
        <v>55</v>
      </c>
      <c r="D58" s="8" t="s">
        <v>52</v>
      </c>
      <c r="E58" s="1">
        <f t="shared" si="1"/>
        <v>80.45</v>
      </c>
      <c r="F58" s="1">
        <v>4.5</v>
      </c>
      <c r="G58" s="1">
        <v>0</v>
      </c>
      <c r="H58" s="1">
        <v>0</v>
      </c>
      <c r="I58" s="1">
        <v>0</v>
      </c>
      <c r="J58" s="1">
        <v>15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0.05</v>
      </c>
      <c r="S58" s="1">
        <v>0</v>
      </c>
      <c r="T58" s="1">
        <v>1800</v>
      </c>
      <c r="U58" s="1">
        <v>2</v>
      </c>
      <c r="V58" s="1">
        <v>450</v>
      </c>
      <c r="W58" s="1">
        <v>85</v>
      </c>
      <c r="X58" s="1">
        <v>1600</v>
      </c>
      <c r="Y58" s="1">
        <v>4</v>
      </c>
      <c r="Z58" s="5">
        <v>0</v>
      </c>
      <c r="AA58" s="5">
        <v>25</v>
      </c>
      <c r="AB58" s="5">
        <v>0</v>
      </c>
      <c r="AC58" s="1">
        <v>25</v>
      </c>
      <c r="AD58" s="1">
        <v>1E-3</v>
      </c>
      <c r="AE58" s="1">
        <v>426</v>
      </c>
      <c r="AF58" s="1">
        <v>551</v>
      </c>
      <c r="AG58" s="1">
        <v>35.6</v>
      </c>
    </row>
    <row r="59" spans="1:33" x14ac:dyDescent="0.3">
      <c r="A59" s="18"/>
      <c r="B59" s="4">
        <v>13</v>
      </c>
      <c r="C59" s="1">
        <v>56</v>
      </c>
      <c r="D59" s="8" t="s">
        <v>53</v>
      </c>
      <c r="E59" s="1">
        <f t="shared" si="1"/>
        <v>87.4</v>
      </c>
      <c r="F59" s="1">
        <v>2</v>
      </c>
      <c r="G59" s="1">
        <v>2</v>
      </c>
      <c r="H59" s="1">
        <v>0.5</v>
      </c>
      <c r="I59" s="1">
        <v>0.05</v>
      </c>
      <c r="J59" s="1">
        <v>0</v>
      </c>
      <c r="K59" s="1">
        <v>0</v>
      </c>
      <c r="L59" s="1">
        <v>8</v>
      </c>
      <c r="M59" s="1">
        <v>0.05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1800</v>
      </c>
      <c r="U59" s="1">
        <v>2</v>
      </c>
      <c r="V59" s="1">
        <v>450</v>
      </c>
      <c r="W59" s="1">
        <v>85</v>
      </c>
      <c r="X59" s="1">
        <v>1600</v>
      </c>
      <c r="Y59" s="1">
        <v>4</v>
      </c>
      <c r="Z59" s="5">
        <v>0</v>
      </c>
      <c r="AA59" s="5">
        <v>25</v>
      </c>
      <c r="AB59" s="5">
        <v>0</v>
      </c>
      <c r="AC59" s="1">
        <v>25</v>
      </c>
      <c r="AD59" s="1">
        <v>1E-3</v>
      </c>
      <c r="AE59" s="1">
        <v>404</v>
      </c>
      <c r="AF59" s="1">
        <v>520</v>
      </c>
      <c r="AG59" s="1">
        <v>18</v>
      </c>
    </row>
    <row r="60" spans="1:33" x14ac:dyDescent="0.3">
      <c r="A60" s="18"/>
      <c r="B60" s="4">
        <v>13</v>
      </c>
      <c r="C60" s="1">
        <v>57</v>
      </c>
      <c r="D60" s="8" t="s">
        <v>54</v>
      </c>
      <c r="E60" s="1">
        <f t="shared" si="1"/>
        <v>84.4</v>
      </c>
      <c r="F60" s="1">
        <v>5</v>
      </c>
      <c r="G60" s="1">
        <v>2</v>
      </c>
      <c r="H60" s="1">
        <v>1</v>
      </c>
      <c r="I60" s="1">
        <v>0.1</v>
      </c>
      <c r="J60" s="1">
        <v>1.5</v>
      </c>
      <c r="K60" s="1">
        <v>0</v>
      </c>
      <c r="L60" s="1">
        <v>6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1800</v>
      </c>
      <c r="U60" s="1">
        <v>2</v>
      </c>
      <c r="V60" s="1">
        <v>450</v>
      </c>
      <c r="W60" s="1">
        <v>85</v>
      </c>
      <c r="X60" s="1">
        <v>1600</v>
      </c>
      <c r="Y60" s="1">
        <v>4</v>
      </c>
      <c r="Z60" s="5">
        <v>0</v>
      </c>
      <c r="AA60" s="5">
        <v>25</v>
      </c>
      <c r="AB60" s="5">
        <v>0</v>
      </c>
      <c r="AC60" s="1">
        <v>25</v>
      </c>
      <c r="AD60" s="1">
        <v>1E-3</v>
      </c>
      <c r="AE60" s="1">
        <v>370</v>
      </c>
      <c r="AF60" s="1">
        <v>506</v>
      </c>
      <c r="AG60" s="1">
        <v>31.3</v>
      </c>
    </row>
    <row r="61" spans="1:33" x14ac:dyDescent="0.3">
      <c r="A61" s="18"/>
      <c r="B61" s="4">
        <v>13</v>
      </c>
      <c r="C61" s="1">
        <v>58</v>
      </c>
      <c r="D61" s="8" t="s">
        <v>55</v>
      </c>
      <c r="E61" s="1">
        <f t="shared" si="1"/>
        <v>94.3</v>
      </c>
      <c r="F61" s="1">
        <v>2</v>
      </c>
      <c r="G61" s="1">
        <v>2</v>
      </c>
      <c r="H61" s="1">
        <v>0.5</v>
      </c>
      <c r="I61" s="1">
        <v>0.05</v>
      </c>
      <c r="J61" s="1">
        <v>1</v>
      </c>
      <c r="K61" s="1">
        <v>0</v>
      </c>
      <c r="L61" s="1">
        <v>0</v>
      </c>
      <c r="M61" s="1">
        <v>0.04</v>
      </c>
      <c r="N61" s="1">
        <v>0</v>
      </c>
      <c r="O61" s="1">
        <v>0</v>
      </c>
      <c r="P61" s="1">
        <v>0</v>
      </c>
      <c r="Q61" s="1">
        <v>0</v>
      </c>
      <c r="R61" s="1">
        <v>0.05</v>
      </c>
      <c r="S61" s="1">
        <v>0.06</v>
      </c>
      <c r="T61" s="1">
        <v>1800</v>
      </c>
      <c r="U61" s="1">
        <v>2</v>
      </c>
      <c r="V61" s="1">
        <v>450</v>
      </c>
      <c r="W61" s="1">
        <v>85</v>
      </c>
      <c r="X61" s="1">
        <v>1600</v>
      </c>
      <c r="Y61" s="1">
        <v>4</v>
      </c>
      <c r="Z61" s="5">
        <v>0</v>
      </c>
      <c r="AA61" s="5">
        <v>25</v>
      </c>
      <c r="AB61" s="5">
        <v>0</v>
      </c>
      <c r="AC61" s="1">
        <v>25</v>
      </c>
      <c r="AD61" s="1">
        <v>1E-3</v>
      </c>
      <c r="AE61" s="1">
        <v>312</v>
      </c>
      <c r="AF61" s="1">
        <v>495</v>
      </c>
      <c r="AG61" s="1">
        <v>29.7</v>
      </c>
    </row>
    <row r="62" spans="1:33" x14ac:dyDescent="0.2">
      <c r="A62" s="18"/>
      <c r="B62" s="4">
        <v>13</v>
      </c>
      <c r="C62" s="1">
        <v>59</v>
      </c>
      <c r="D62" s="2" t="s">
        <v>50</v>
      </c>
      <c r="E62" s="1">
        <f t="shared" si="1"/>
        <v>91.4</v>
      </c>
      <c r="F62" s="1">
        <v>2</v>
      </c>
      <c r="G62" s="1">
        <v>2</v>
      </c>
      <c r="H62" s="1">
        <v>0.5</v>
      </c>
      <c r="I62" s="1">
        <v>0.05</v>
      </c>
      <c r="J62" s="1">
        <v>0</v>
      </c>
      <c r="K62" s="1">
        <v>0</v>
      </c>
      <c r="L62" s="1">
        <v>4</v>
      </c>
      <c r="M62" s="1">
        <v>0.05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1800</v>
      </c>
      <c r="U62" s="1">
        <v>2</v>
      </c>
      <c r="V62" s="1">
        <v>450</v>
      </c>
      <c r="W62" s="1">
        <v>85</v>
      </c>
      <c r="X62" s="1">
        <v>1800</v>
      </c>
      <c r="Y62" s="1">
        <v>2</v>
      </c>
      <c r="Z62" s="5">
        <v>0</v>
      </c>
      <c r="AA62" s="5">
        <v>25</v>
      </c>
      <c r="AB62" s="5">
        <v>0</v>
      </c>
      <c r="AC62" s="1">
        <v>25</v>
      </c>
      <c r="AD62" s="1">
        <v>1E-3</v>
      </c>
      <c r="AE62" s="1">
        <v>370</v>
      </c>
      <c r="AF62" s="1">
        <v>478</v>
      </c>
      <c r="AG62" s="1">
        <v>6.17</v>
      </c>
    </row>
    <row r="63" spans="1:33" x14ac:dyDescent="0.3">
      <c r="A63" s="18"/>
      <c r="B63" s="4">
        <v>13</v>
      </c>
      <c r="C63" s="1">
        <v>60</v>
      </c>
      <c r="D63" s="8" t="s">
        <v>51</v>
      </c>
      <c r="E63" s="1">
        <f t="shared" ref="E63:E89" si="2">100-F63-G63-H63-I63-L63-Q63-R63-J63-K63-M63-N63-O63-P63-S63</f>
        <v>90.4</v>
      </c>
      <c r="F63" s="1">
        <v>3</v>
      </c>
      <c r="G63" s="1">
        <v>2</v>
      </c>
      <c r="H63" s="1">
        <v>0.5</v>
      </c>
      <c r="I63" s="1">
        <v>0.05</v>
      </c>
      <c r="J63" s="1">
        <v>1</v>
      </c>
      <c r="K63" s="1">
        <v>0</v>
      </c>
      <c r="L63" s="1">
        <v>3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0.05</v>
      </c>
      <c r="S63" s="1">
        <v>0</v>
      </c>
      <c r="T63" s="1">
        <v>1800</v>
      </c>
      <c r="U63" s="1">
        <v>2</v>
      </c>
      <c r="V63" s="1">
        <v>450</v>
      </c>
      <c r="W63" s="1">
        <v>85</v>
      </c>
      <c r="X63" s="1">
        <v>1800</v>
      </c>
      <c r="Y63" s="1">
        <v>2</v>
      </c>
      <c r="Z63" s="5">
        <v>0</v>
      </c>
      <c r="AA63" s="5">
        <v>25</v>
      </c>
      <c r="AB63" s="5">
        <v>0</v>
      </c>
      <c r="AC63" s="1">
        <v>25</v>
      </c>
      <c r="AD63" s="1">
        <v>1E-3</v>
      </c>
      <c r="AE63" s="1">
        <v>405</v>
      </c>
      <c r="AF63" s="1">
        <v>504</v>
      </c>
      <c r="AG63" s="1">
        <v>21</v>
      </c>
    </row>
    <row r="64" spans="1:33" x14ac:dyDescent="0.3">
      <c r="A64" s="18"/>
      <c r="B64" s="4">
        <v>13</v>
      </c>
      <c r="C64" s="1">
        <v>61</v>
      </c>
      <c r="D64" s="8" t="s">
        <v>53</v>
      </c>
      <c r="E64" s="1">
        <f t="shared" si="2"/>
        <v>87.4</v>
      </c>
      <c r="F64" s="1">
        <v>2</v>
      </c>
      <c r="G64" s="1">
        <v>2</v>
      </c>
      <c r="H64" s="1">
        <v>0.5</v>
      </c>
      <c r="I64" s="1">
        <v>0.05</v>
      </c>
      <c r="J64" s="1">
        <v>0</v>
      </c>
      <c r="K64" s="1">
        <v>0</v>
      </c>
      <c r="L64" s="1">
        <v>8</v>
      </c>
      <c r="M64" s="1">
        <v>0.05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1800</v>
      </c>
      <c r="U64" s="1">
        <v>2</v>
      </c>
      <c r="V64" s="1">
        <v>450</v>
      </c>
      <c r="W64" s="1">
        <v>85</v>
      </c>
      <c r="X64" s="1">
        <v>1800</v>
      </c>
      <c r="Y64" s="1">
        <v>2</v>
      </c>
      <c r="Z64" s="5">
        <v>0</v>
      </c>
      <c r="AA64" s="5">
        <v>25</v>
      </c>
      <c r="AB64" s="5">
        <v>0</v>
      </c>
      <c r="AC64" s="1">
        <v>25</v>
      </c>
      <c r="AD64" s="1">
        <v>1E-3</v>
      </c>
      <c r="AE64" s="1">
        <v>447</v>
      </c>
      <c r="AF64" s="1">
        <v>490</v>
      </c>
      <c r="AG64" s="1">
        <v>17.899999999999999</v>
      </c>
    </row>
    <row r="65" spans="1:33" x14ac:dyDescent="0.3">
      <c r="A65" s="18"/>
      <c r="B65" s="4">
        <v>13</v>
      </c>
      <c r="C65" s="1">
        <v>62</v>
      </c>
      <c r="D65" s="8" t="s">
        <v>54</v>
      </c>
      <c r="E65" s="1">
        <f t="shared" si="2"/>
        <v>84.4</v>
      </c>
      <c r="F65" s="1">
        <v>5</v>
      </c>
      <c r="G65" s="1">
        <v>2</v>
      </c>
      <c r="H65" s="1">
        <v>1</v>
      </c>
      <c r="I65" s="1">
        <v>0.1</v>
      </c>
      <c r="J65" s="1">
        <v>1.5</v>
      </c>
      <c r="K65" s="1">
        <v>0</v>
      </c>
      <c r="L65" s="1">
        <v>6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1800</v>
      </c>
      <c r="U65" s="1">
        <v>2</v>
      </c>
      <c r="V65" s="1">
        <v>450</v>
      </c>
      <c r="W65" s="1">
        <v>85</v>
      </c>
      <c r="X65" s="1">
        <v>1800</v>
      </c>
      <c r="Y65" s="1">
        <v>2</v>
      </c>
      <c r="Z65" s="5">
        <v>0</v>
      </c>
      <c r="AA65" s="5">
        <v>25</v>
      </c>
      <c r="AB65" s="5">
        <v>0</v>
      </c>
      <c r="AC65" s="1">
        <v>25</v>
      </c>
      <c r="AD65" s="1">
        <v>1E-3</v>
      </c>
      <c r="AE65" s="1">
        <v>385</v>
      </c>
      <c r="AF65" s="1">
        <v>530</v>
      </c>
      <c r="AG65" s="1">
        <v>10.1</v>
      </c>
    </row>
    <row r="66" spans="1:33" x14ac:dyDescent="0.3">
      <c r="A66" s="18"/>
      <c r="B66" s="4">
        <v>13</v>
      </c>
      <c r="C66" s="1">
        <v>63</v>
      </c>
      <c r="D66" s="8" t="s">
        <v>55</v>
      </c>
      <c r="E66" s="1">
        <f t="shared" si="2"/>
        <v>94.3</v>
      </c>
      <c r="F66" s="1">
        <v>2</v>
      </c>
      <c r="G66" s="1">
        <v>2</v>
      </c>
      <c r="H66" s="1">
        <v>0.5</v>
      </c>
      <c r="I66" s="1">
        <v>0.05</v>
      </c>
      <c r="J66" s="1">
        <v>1</v>
      </c>
      <c r="K66" s="1">
        <v>0</v>
      </c>
      <c r="L66" s="1">
        <v>0</v>
      </c>
      <c r="M66" s="1">
        <v>0.04</v>
      </c>
      <c r="N66" s="1">
        <v>0</v>
      </c>
      <c r="O66" s="1">
        <v>0</v>
      </c>
      <c r="P66" s="1">
        <v>0</v>
      </c>
      <c r="Q66" s="1">
        <v>0</v>
      </c>
      <c r="R66" s="1">
        <v>0.05</v>
      </c>
      <c r="S66" s="1">
        <v>0.06</v>
      </c>
      <c r="T66" s="1">
        <v>1800</v>
      </c>
      <c r="U66" s="1">
        <v>2</v>
      </c>
      <c r="V66" s="1">
        <v>450</v>
      </c>
      <c r="W66" s="1">
        <v>85</v>
      </c>
      <c r="X66" s="1">
        <v>1800</v>
      </c>
      <c r="Y66" s="1">
        <v>2</v>
      </c>
      <c r="Z66" s="5">
        <v>0</v>
      </c>
      <c r="AA66" s="5">
        <v>25</v>
      </c>
      <c r="AB66" s="5">
        <v>0</v>
      </c>
      <c r="AC66" s="1">
        <v>25</v>
      </c>
      <c r="AD66" s="1">
        <v>1E-3</v>
      </c>
      <c r="AE66" s="1">
        <v>397</v>
      </c>
      <c r="AF66" s="1">
        <v>542</v>
      </c>
      <c r="AG66" s="1">
        <v>27</v>
      </c>
    </row>
    <row r="67" spans="1:33" x14ac:dyDescent="0.2">
      <c r="A67" s="18"/>
      <c r="B67" s="4">
        <v>13</v>
      </c>
      <c r="C67" s="1">
        <v>64</v>
      </c>
      <c r="D67" s="2" t="s">
        <v>50</v>
      </c>
      <c r="E67" s="1">
        <f t="shared" si="2"/>
        <v>91.4</v>
      </c>
      <c r="F67" s="1">
        <v>2</v>
      </c>
      <c r="G67" s="1">
        <v>2</v>
      </c>
      <c r="H67" s="1">
        <v>0.5</v>
      </c>
      <c r="I67" s="1">
        <v>0.05</v>
      </c>
      <c r="J67" s="1">
        <v>0</v>
      </c>
      <c r="K67" s="1">
        <v>0</v>
      </c>
      <c r="L67" s="1">
        <v>4</v>
      </c>
      <c r="M67" s="1">
        <v>0.05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1800</v>
      </c>
      <c r="U67" s="1">
        <v>2</v>
      </c>
      <c r="V67" s="1">
        <v>450</v>
      </c>
      <c r="W67" s="1">
        <v>85</v>
      </c>
      <c r="X67" s="1">
        <v>1450</v>
      </c>
      <c r="Y67" s="1">
        <v>16</v>
      </c>
      <c r="Z67" s="5">
        <v>1</v>
      </c>
      <c r="AA67" s="5">
        <v>1800</v>
      </c>
      <c r="AB67" s="5">
        <v>2</v>
      </c>
      <c r="AC67" s="1">
        <v>25</v>
      </c>
      <c r="AD67" s="1">
        <v>1E-3</v>
      </c>
      <c r="AE67" s="1">
        <v>382</v>
      </c>
      <c r="AF67" s="1">
        <v>512</v>
      </c>
      <c r="AG67" s="1">
        <v>23.6</v>
      </c>
    </row>
    <row r="68" spans="1:33" x14ac:dyDescent="0.3">
      <c r="A68" s="18"/>
      <c r="B68" s="4">
        <v>13</v>
      </c>
      <c r="C68" s="1">
        <v>65</v>
      </c>
      <c r="D68" s="8" t="s">
        <v>51</v>
      </c>
      <c r="E68" s="1">
        <f t="shared" si="2"/>
        <v>90.4</v>
      </c>
      <c r="F68" s="1">
        <v>3</v>
      </c>
      <c r="G68" s="1">
        <v>2</v>
      </c>
      <c r="H68" s="1">
        <v>0.5</v>
      </c>
      <c r="I68" s="1">
        <v>0.05</v>
      </c>
      <c r="J68" s="1">
        <v>1</v>
      </c>
      <c r="K68" s="1">
        <v>0</v>
      </c>
      <c r="L68" s="1">
        <v>3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0.05</v>
      </c>
      <c r="S68" s="1">
        <v>0</v>
      </c>
      <c r="T68" s="1">
        <v>1800</v>
      </c>
      <c r="U68" s="1">
        <v>2</v>
      </c>
      <c r="V68" s="1">
        <v>450</v>
      </c>
      <c r="W68" s="1">
        <v>85</v>
      </c>
      <c r="X68" s="1">
        <v>1450</v>
      </c>
      <c r="Y68" s="1">
        <v>16</v>
      </c>
      <c r="Z68" s="5">
        <v>1</v>
      </c>
      <c r="AA68" s="5">
        <v>1800</v>
      </c>
      <c r="AB68" s="5">
        <v>2</v>
      </c>
      <c r="AC68" s="1">
        <v>25</v>
      </c>
      <c r="AD68" s="1">
        <v>1E-3</v>
      </c>
      <c r="AE68" s="1">
        <v>373</v>
      </c>
      <c r="AF68" s="1">
        <v>492</v>
      </c>
      <c r="AG68" s="1">
        <v>25.6</v>
      </c>
    </row>
    <row r="69" spans="1:33" x14ac:dyDescent="0.3">
      <c r="A69" s="18"/>
      <c r="B69" s="4">
        <v>13</v>
      </c>
      <c r="C69" s="1">
        <v>66</v>
      </c>
      <c r="D69" s="8" t="s">
        <v>52</v>
      </c>
      <c r="E69" s="1">
        <f t="shared" si="2"/>
        <v>80.45</v>
      </c>
      <c r="F69" s="1">
        <v>4.5</v>
      </c>
      <c r="G69" s="1">
        <v>0</v>
      </c>
      <c r="H69" s="1">
        <v>0</v>
      </c>
      <c r="I69" s="1">
        <v>0</v>
      </c>
      <c r="J69" s="1">
        <v>15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0.05</v>
      </c>
      <c r="S69" s="1">
        <v>0</v>
      </c>
      <c r="T69" s="1">
        <v>1800</v>
      </c>
      <c r="U69" s="1">
        <v>2</v>
      </c>
      <c r="V69" s="1">
        <v>450</v>
      </c>
      <c r="W69" s="1">
        <v>85</v>
      </c>
      <c r="X69" s="1">
        <v>1450</v>
      </c>
      <c r="Y69" s="1">
        <v>16</v>
      </c>
      <c r="Z69" s="5">
        <v>1</v>
      </c>
      <c r="AA69" s="5">
        <v>1800</v>
      </c>
      <c r="AB69" s="5">
        <v>2</v>
      </c>
      <c r="AC69" s="1">
        <v>25</v>
      </c>
      <c r="AD69" s="1">
        <v>1E-3</v>
      </c>
      <c r="AE69" s="1">
        <v>421</v>
      </c>
      <c r="AF69" s="1">
        <v>569</v>
      </c>
      <c r="AG69" s="1">
        <v>20.7</v>
      </c>
    </row>
    <row r="70" spans="1:33" x14ac:dyDescent="0.3">
      <c r="A70" s="18"/>
      <c r="B70" s="4">
        <v>13</v>
      </c>
      <c r="C70" s="1">
        <v>67</v>
      </c>
      <c r="D70" s="8" t="s">
        <v>53</v>
      </c>
      <c r="E70" s="1">
        <f t="shared" si="2"/>
        <v>87.4</v>
      </c>
      <c r="F70" s="1">
        <v>2</v>
      </c>
      <c r="G70" s="1">
        <v>2</v>
      </c>
      <c r="H70" s="1">
        <v>0.5</v>
      </c>
      <c r="I70" s="1">
        <v>0.05</v>
      </c>
      <c r="J70" s="1">
        <v>0</v>
      </c>
      <c r="K70" s="1">
        <v>0</v>
      </c>
      <c r="L70" s="1">
        <v>8</v>
      </c>
      <c r="M70" s="1">
        <v>0.05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1800</v>
      </c>
      <c r="U70" s="1">
        <v>2</v>
      </c>
      <c r="V70" s="1">
        <v>450</v>
      </c>
      <c r="W70" s="1">
        <v>85</v>
      </c>
      <c r="X70" s="1">
        <v>1450</v>
      </c>
      <c r="Y70" s="1">
        <v>16</v>
      </c>
      <c r="Z70" s="5">
        <v>1</v>
      </c>
      <c r="AA70" s="5">
        <v>1800</v>
      </c>
      <c r="AB70" s="5">
        <v>2</v>
      </c>
      <c r="AC70" s="1">
        <v>25</v>
      </c>
      <c r="AD70" s="1">
        <v>1E-3</v>
      </c>
      <c r="AE70" s="1">
        <v>396</v>
      </c>
      <c r="AF70" s="1">
        <v>508</v>
      </c>
      <c r="AG70" s="1">
        <v>30.6</v>
      </c>
    </row>
    <row r="71" spans="1:33" x14ac:dyDescent="0.3">
      <c r="A71" s="18"/>
      <c r="B71" s="4">
        <v>13</v>
      </c>
      <c r="C71" s="1">
        <v>68</v>
      </c>
      <c r="D71" s="8" t="s">
        <v>54</v>
      </c>
      <c r="E71" s="1">
        <f t="shared" si="2"/>
        <v>84.4</v>
      </c>
      <c r="F71" s="1">
        <v>5</v>
      </c>
      <c r="G71" s="1">
        <v>2</v>
      </c>
      <c r="H71" s="1">
        <v>1</v>
      </c>
      <c r="I71" s="1">
        <v>0.1</v>
      </c>
      <c r="J71" s="1">
        <v>1.5</v>
      </c>
      <c r="K71" s="1">
        <v>0</v>
      </c>
      <c r="L71" s="1">
        <v>6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1800</v>
      </c>
      <c r="U71" s="1">
        <v>2</v>
      </c>
      <c r="V71" s="1">
        <v>450</v>
      </c>
      <c r="W71" s="1">
        <v>85</v>
      </c>
      <c r="X71" s="1">
        <v>1450</v>
      </c>
      <c r="Y71" s="1">
        <v>16</v>
      </c>
      <c r="Z71" s="5">
        <v>1</v>
      </c>
      <c r="AA71" s="5">
        <v>1800</v>
      </c>
      <c r="AB71" s="5">
        <v>2</v>
      </c>
      <c r="AC71" s="1">
        <v>25</v>
      </c>
      <c r="AD71" s="1">
        <v>1E-3</v>
      </c>
      <c r="AE71" s="1">
        <v>431</v>
      </c>
      <c r="AF71" s="1">
        <v>559</v>
      </c>
      <c r="AG71" s="1">
        <v>27.6</v>
      </c>
    </row>
    <row r="72" spans="1:33" x14ac:dyDescent="0.3">
      <c r="A72" s="18"/>
      <c r="B72" s="4">
        <v>13</v>
      </c>
      <c r="C72" s="1">
        <v>69</v>
      </c>
      <c r="D72" s="8" t="s">
        <v>55</v>
      </c>
      <c r="E72" s="1">
        <f t="shared" si="2"/>
        <v>94.3</v>
      </c>
      <c r="F72" s="1">
        <v>2</v>
      </c>
      <c r="G72" s="1">
        <v>2</v>
      </c>
      <c r="H72" s="1">
        <v>0.5</v>
      </c>
      <c r="I72" s="1">
        <v>0.05</v>
      </c>
      <c r="J72" s="1">
        <v>1</v>
      </c>
      <c r="K72" s="1">
        <v>0</v>
      </c>
      <c r="L72" s="1">
        <v>0</v>
      </c>
      <c r="M72" s="1">
        <v>0.04</v>
      </c>
      <c r="N72" s="1">
        <v>0</v>
      </c>
      <c r="O72" s="1">
        <v>0</v>
      </c>
      <c r="P72" s="1">
        <v>0</v>
      </c>
      <c r="Q72" s="1">
        <v>0</v>
      </c>
      <c r="R72" s="1">
        <v>0.05</v>
      </c>
      <c r="S72" s="1">
        <v>0.06</v>
      </c>
      <c r="T72" s="1">
        <v>1800</v>
      </c>
      <c r="U72" s="1">
        <v>2</v>
      </c>
      <c r="V72" s="1">
        <v>450</v>
      </c>
      <c r="W72" s="1">
        <v>85</v>
      </c>
      <c r="X72" s="1">
        <v>1450</v>
      </c>
      <c r="Y72" s="1">
        <v>16</v>
      </c>
      <c r="Z72" s="5">
        <v>1</v>
      </c>
      <c r="AA72" s="5">
        <v>1800</v>
      </c>
      <c r="AB72" s="5">
        <v>2</v>
      </c>
      <c r="AC72" s="1">
        <v>25</v>
      </c>
      <c r="AD72" s="1">
        <v>1E-3</v>
      </c>
      <c r="AE72" s="1">
        <v>395</v>
      </c>
      <c r="AF72" s="1">
        <v>518</v>
      </c>
      <c r="AG72" s="1">
        <v>26</v>
      </c>
    </row>
    <row r="73" spans="1:33" x14ac:dyDescent="0.2">
      <c r="A73" s="18"/>
      <c r="B73" s="4">
        <v>13</v>
      </c>
      <c r="C73" s="1">
        <v>70</v>
      </c>
      <c r="D73" s="2" t="s">
        <v>50</v>
      </c>
      <c r="E73" s="1">
        <f t="shared" si="2"/>
        <v>91.4</v>
      </c>
      <c r="F73" s="1">
        <v>2</v>
      </c>
      <c r="G73" s="1">
        <v>2</v>
      </c>
      <c r="H73" s="1">
        <v>0.5</v>
      </c>
      <c r="I73" s="1">
        <v>0.05</v>
      </c>
      <c r="J73" s="1">
        <v>0</v>
      </c>
      <c r="K73" s="1">
        <v>0</v>
      </c>
      <c r="L73" s="1">
        <v>4</v>
      </c>
      <c r="M73" s="1">
        <v>0.05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1800</v>
      </c>
      <c r="U73" s="1">
        <v>2</v>
      </c>
      <c r="V73" s="1">
        <v>450</v>
      </c>
      <c r="W73" s="1">
        <v>85</v>
      </c>
      <c r="X73" s="1">
        <v>1450</v>
      </c>
      <c r="Y73" s="1">
        <v>16</v>
      </c>
      <c r="Z73" s="5">
        <v>0</v>
      </c>
      <c r="AA73" s="5">
        <v>1800</v>
      </c>
      <c r="AB73" s="5">
        <v>2</v>
      </c>
      <c r="AC73" s="1">
        <v>25</v>
      </c>
      <c r="AD73" s="1">
        <v>1E-3</v>
      </c>
      <c r="AE73" s="1">
        <v>422</v>
      </c>
      <c r="AF73" s="1">
        <v>502</v>
      </c>
      <c r="AG73" s="1">
        <v>19.899999999999999</v>
      </c>
    </row>
    <row r="74" spans="1:33" x14ac:dyDescent="0.3">
      <c r="A74" s="18"/>
      <c r="B74" s="4">
        <v>13</v>
      </c>
      <c r="C74" s="1">
        <v>71</v>
      </c>
      <c r="D74" s="8" t="s">
        <v>51</v>
      </c>
      <c r="E74" s="1">
        <f t="shared" si="2"/>
        <v>90.4</v>
      </c>
      <c r="F74" s="1">
        <v>3</v>
      </c>
      <c r="G74" s="1">
        <v>2</v>
      </c>
      <c r="H74" s="1">
        <v>0.5</v>
      </c>
      <c r="I74" s="1">
        <v>0.05</v>
      </c>
      <c r="J74" s="1">
        <v>1</v>
      </c>
      <c r="K74" s="1">
        <v>0</v>
      </c>
      <c r="L74" s="1">
        <v>3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0.05</v>
      </c>
      <c r="S74" s="1">
        <v>0</v>
      </c>
      <c r="T74" s="1">
        <v>1800</v>
      </c>
      <c r="U74" s="1">
        <v>2</v>
      </c>
      <c r="V74" s="1">
        <v>450</v>
      </c>
      <c r="W74" s="1">
        <v>85</v>
      </c>
      <c r="X74" s="1">
        <v>1450</v>
      </c>
      <c r="Y74" s="1">
        <v>16</v>
      </c>
      <c r="Z74" s="5">
        <v>0</v>
      </c>
      <c r="AA74" s="5">
        <v>1800</v>
      </c>
      <c r="AB74" s="5">
        <v>2</v>
      </c>
      <c r="AC74" s="1">
        <v>25</v>
      </c>
      <c r="AD74" s="1">
        <v>1E-3</v>
      </c>
      <c r="AE74" s="1">
        <v>424</v>
      </c>
      <c r="AF74" s="1">
        <v>528</v>
      </c>
      <c r="AG74" s="1">
        <v>25.9</v>
      </c>
    </row>
    <row r="75" spans="1:33" x14ac:dyDescent="0.3">
      <c r="A75" s="18"/>
      <c r="B75" s="4">
        <v>13</v>
      </c>
      <c r="C75" s="1">
        <v>72</v>
      </c>
      <c r="D75" s="8" t="s">
        <v>52</v>
      </c>
      <c r="E75" s="1">
        <f t="shared" si="2"/>
        <v>80.45</v>
      </c>
      <c r="F75" s="1">
        <v>4.5</v>
      </c>
      <c r="G75" s="1">
        <v>0</v>
      </c>
      <c r="H75" s="1">
        <v>0</v>
      </c>
      <c r="I75" s="1">
        <v>0</v>
      </c>
      <c r="J75" s="1">
        <v>15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0.05</v>
      </c>
      <c r="S75" s="1">
        <v>0</v>
      </c>
      <c r="T75" s="1">
        <v>1800</v>
      </c>
      <c r="U75" s="1">
        <v>2</v>
      </c>
      <c r="V75" s="1">
        <v>450</v>
      </c>
      <c r="W75" s="1">
        <v>85</v>
      </c>
      <c r="X75" s="1">
        <v>1450</v>
      </c>
      <c r="Y75" s="1">
        <v>16</v>
      </c>
      <c r="Z75" s="5">
        <v>0</v>
      </c>
      <c r="AA75" s="5">
        <v>1800</v>
      </c>
      <c r="AB75" s="5">
        <v>2</v>
      </c>
      <c r="AC75" s="1">
        <v>25</v>
      </c>
      <c r="AD75" s="1">
        <v>1E-3</v>
      </c>
      <c r="AE75" s="1">
        <v>437</v>
      </c>
      <c r="AF75" s="1">
        <v>582</v>
      </c>
      <c r="AG75" s="1">
        <v>19.600000000000001</v>
      </c>
    </row>
    <row r="76" spans="1:33" x14ac:dyDescent="0.3">
      <c r="A76" s="18"/>
      <c r="B76" s="4">
        <v>13</v>
      </c>
      <c r="C76" s="1">
        <v>73</v>
      </c>
      <c r="D76" s="8" t="s">
        <v>53</v>
      </c>
      <c r="E76" s="1">
        <f t="shared" si="2"/>
        <v>87.4</v>
      </c>
      <c r="F76" s="1">
        <v>2</v>
      </c>
      <c r="G76" s="1">
        <v>2</v>
      </c>
      <c r="H76" s="1">
        <v>0.5</v>
      </c>
      <c r="I76" s="1">
        <v>0.05</v>
      </c>
      <c r="J76" s="1">
        <v>0</v>
      </c>
      <c r="K76" s="1">
        <v>0</v>
      </c>
      <c r="L76" s="1">
        <v>8</v>
      </c>
      <c r="M76" s="1">
        <v>0.05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1800</v>
      </c>
      <c r="U76" s="1">
        <v>2</v>
      </c>
      <c r="V76" s="1">
        <v>450</v>
      </c>
      <c r="W76" s="1">
        <v>85</v>
      </c>
      <c r="X76" s="1">
        <v>1450</v>
      </c>
      <c r="Y76" s="1">
        <v>16</v>
      </c>
      <c r="Z76" s="5">
        <v>0</v>
      </c>
      <c r="AA76" s="5">
        <v>1800</v>
      </c>
      <c r="AB76" s="5">
        <v>2</v>
      </c>
      <c r="AC76" s="1">
        <v>25</v>
      </c>
      <c r="AD76" s="1">
        <v>1E-3</v>
      </c>
      <c r="AE76" s="1">
        <v>407</v>
      </c>
      <c r="AF76" s="1">
        <v>507</v>
      </c>
      <c r="AG76" s="1">
        <v>26</v>
      </c>
    </row>
    <row r="77" spans="1:33" x14ac:dyDescent="0.3">
      <c r="A77" s="18"/>
      <c r="B77" s="4">
        <v>13</v>
      </c>
      <c r="C77" s="1">
        <v>74</v>
      </c>
      <c r="D77" s="8" t="s">
        <v>54</v>
      </c>
      <c r="E77" s="1">
        <f t="shared" si="2"/>
        <v>84.4</v>
      </c>
      <c r="F77" s="1">
        <v>5</v>
      </c>
      <c r="G77" s="1">
        <v>2</v>
      </c>
      <c r="H77" s="1">
        <v>1</v>
      </c>
      <c r="I77" s="1">
        <v>0.1</v>
      </c>
      <c r="J77" s="1">
        <v>1.5</v>
      </c>
      <c r="K77" s="1">
        <v>0</v>
      </c>
      <c r="L77" s="1">
        <v>6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1800</v>
      </c>
      <c r="U77" s="1">
        <v>2</v>
      </c>
      <c r="V77" s="1">
        <v>450</v>
      </c>
      <c r="W77" s="1">
        <v>85</v>
      </c>
      <c r="X77" s="1">
        <v>1450</v>
      </c>
      <c r="Y77" s="1">
        <v>16</v>
      </c>
      <c r="Z77" s="5">
        <v>0</v>
      </c>
      <c r="AA77" s="5">
        <v>1800</v>
      </c>
      <c r="AB77" s="5">
        <v>2</v>
      </c>
      <c r="AC77" s="1">
        <v>25</v>
      </c>
      <c r="AD77" s="1">
        <v>1E-3</v>
      </c>
      <c r="AE77" s="1">
        <v>515</v>
      </c>
      <c r="AF77" s="1">
        <v>592</v>
      </c>
      <c r="AG77" s="1">
        <v>22</v>
      </c>
    </row>
    <row r="78" spans="1:33" x14ac:dyDescent="0.3">
      <c r="A78" s="18"/>
      <c r="B78" s="4">
        <v>13</v>
      </c>
      <c r="C78" s="1">
        <v>75</v>
      </c>
      <c r="D78" s="8" t="s">
        <v>55</v>
      </c>
      <c r="E78" s="1">
        <f t="shared" si="2"/>
        <v>94.3</v>
      </c>
      <c r="F78" s="1">
        <v>2</v>
      </c>
      <c r="G78" s="1">
        <v>2</v>
      </c>
      <c r="H78" s="1">
        <v>0.5</v>
      </c>
      <c r="I78" s="1">
        <v>0.05</v>
      </c>
      <c r="J78" s="1">
        <v>1</v>
      </c>
      <c r="K78" s="1">
        <v>0</v>
      </c>
      <c r="L78" s="1">
        <v>0</v>
      </c>
      <c r="M78" s="1">
        <v>0.04</v>
      </c>
      <c r="N78" s="1">
        <v>0</v>
      </c>
      <c r="O78" s="1">
        <v>0</v>
      </c>
      <c r="P78" s="1">
        <v>0</v>
      </c>
      <c r="Q78" s="1">
        <v>0</v>
      </c>
      <c r="R78" s="1">
        <v>0.05</v>
      </c>
      <c r="S78" s="1">
        <v>0.06</v>
      </c>
      <c r="T78" s="1">
        <v>1800</v>
      </c>
      <c r="U78" s="1">
        <v>2</v>
      </c>
      <c r="V78" s="1">
        <v>450</v>
      </c>
      <c r="W78" s="1">
        <v>85</v>
      </c>
      <c r="X78" s="1">
        <v>1450</v>
      </c>
      <c r="Y78" s="1">
        <v>16</v>
      </c>
      <c r="Z78" s="5">
        <v>0</v>
      </c>
      <c r="AA78" s="5">
        <v>1800</v>
      </c>
      <c r="AB78" s="5">
        <v>2</v>
      </c>
      <c r="AC78" s="1">
        <v>25</v>
      </c>
      <c r="AD78" s="1">
        <v>1E-3</v>
      </c>
      <c r="AE78" s="1">
        <v>437</v>
      </c>
      <c r="AF78" s="1">
        <v>546</v>
      </c>
      <c r="AG78" s="1">
        <v>29</v>
      </c>
    </row>
    <row r="79" spans="1:33" x14ac:dyDescent="0.2">
      <c r="A79" s="18"/>
      <c r="B79" s="4">
        <v>13</v>
      </c>
      <c r="C79" s="1">
        <v>76</v>
      </c>
      <c r="D79" s="2" t="s">
        <v>56</v>
      </c>
      <c r="E79" s="1">
        <f t="shared" si="2"/>
        <v>83.850000000000009</v>
      </c>
      <c r="F79" s="1">
        <v>6</v>
      </c>
      <c r="G79" s="1">
        <v>0</v>
      </c>
      <c r="H79" s="1">
        <v>0</v>
      </c>
      <c r="I79" s="1">
        <v>0.1</v>
      </c>
      <c r="J79" s="1">
        <v>10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0.05</v>
      </c>
      <c r="S79" s="1">
        <v>0</v>
      </c>
      <c r="T79" s="1">
        <v>1800</v>
      </c>
      <c r="U79" s="1">
        <v>2</v>
      </c>
      <c r="V79" s="1">
        <v>450</v>
      </c>
      <c r="W79" s="1">
        <v>85</v>
      </c>
      <c r="X79" s="1">
        <v>25</v>
      </c>
      <c r="Y79" s="1">
        <v>0</v>
      </c>
      <c r="Z79" s="5">
        <v>0</v>
      </c>
      <c r="AA79" s="5">
        <v>25</v>
      </c>
      <c r="AB79" s="5">
        <v>0</v>
      </c>
      <c r="AC79" s="1">
        <v>25</v>
      </c>
      <c r="AD79" s="1">
        <v>1E-3</v>
      </c>
      <c r="AE79" s="1">
        <v>873</v>
      </c>
      <c r="AF79" s="1">
        <v>932</v>
      </c>
      <c r="AG79" s="1">
        <v>6.6</v>
      </c>
    </row>
    <row r="80" spans="1:33" x14ac:dyDescent="0.2">
      <c r="A80" s="18"/>
      <c r="B80" s="4">
        <v>13</v>
      </c>
      <c r="C80" s="1">
        <v>77</v>
      </c>
      <c r="D80" s="2" t="s">
        <v>57</v>
      </c>
      <c r="E80" s="1">
        <f t="shared" si="2"/>
        <v>79.900000000000006</v>
      </c>
      <c r="F80" s="1">
        <v>6</v>
      </c>
      <c r="G80" s="1">
        <v>2</v>
      </c>
      <c r="H80" s="1">
        <v>1</v>
      </c>
      <c r="I80" s="1">
        <v>0.1</v>
      </c>
      <c r="J80" s="1">
        <v>5</v>
      </c>
      <c r="K80" s="1">
        <v>0</v>
      </c>
      <c r="L80" s="1">
        <v>6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1800</v>
      </c>
      <c r="U80" s="1">
        <v>2</v>
      </c>
      <c r="V80" s="1">
        <v>450</v>
      </c>
      <c r="W80" s="1">
        <v>85</v>
      </c>
      <c r="X80" s="1">
        <v>25</v>
      </c>
      <c r="Y80" s="1">
        <v>0</v>
      </c>
      <c r="Z80" s="5">
        <v>0</v>
      </c>
      <c r="AA80" s="5">
        <v>25</v>
      </c>
      <c r="AB80" s="5">
        <v>0</v>
      </c>
      <c r="AC80" s="1">
        <v>25</v>
      </c>
      <c r="AD80" s="1">
        <v>1E-3</v>
      </c>
      <c r="AE80" s="1">
        <v>957</v>
      </c>
      <c r="AF80" s="1">
        <v>1036</v>
      </c>
      <c r="AG80" s="1">
        <v>4.9000000000000004</v>
      </c>
    </row>
    <row r="81" spans="1:33" x14ac:dyDescent="0.2">
      <c r="A81" s="18"/>
      <c r="B81" s="4">
        <v>13</v>
      </c>
      <c r="C81" s="1">
        <v>78</v>
      </c>
      <c r="D81" s="1" t="s">
        <v>58</v>
      </c>
      <c r="E81" s="1">
        <f t="shared" si="2"/>
        <v>83.350000000000009</v>
      </c>
      <c r="F81" s="1">
        <v>6</v>
      </c>
      <c r="G81" s="1">
        <v>2</v>
      </c>
      <c r="H81" s="1">
        <v>1</v>
      </c>
      <c r="I81" s="1">
        <v>0.05</v>
      </c>
      <c r="J81" s="1">
        <v>1.5</v>
      </c>
      <c r="K81" s="1">
        <v>0</v>
      </c>
      <c r="L81" s="1">
        <v>6</v>
      </c>
      <c r="M81" s="1">
        <v>0</v>
      </c>
      <c r="N81" s="1">
        <v>0.1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1800</v>
      </c>
      <c r="U81" s="1">
        <v>2</v>
      </c>
      <c r="V81" s="1">
        <v>450</v>
      </c>
      <c r="W81" s="1">
        <v>85</v>
      </c>
      <c r="X81" s="1">
        <v>25</v>
      </c>
      <c r="Y81" s="1">
        <v>0</v>
      </c>
      <c r="Z81" s="5">
        <v>0</v>
      </c>
      <c r="AA81" s="5">
        <v>25</v>
      </c>
      <c r="AB81" s="5">
        <v>0</v>
      </c>
      <c r="AC81" s="1">
        <v>25</v>
      </c>
      <c r="AD81" s="1">
        <v>1E-3</v>
      </c>
      <c r="AE81" s="1">
        <v>902</v>
      </c>
      <c r="AF81" s="1">
        <v>856</v>
      </c>
      <c r="AG81" s="1">
        <v>3.7</v>
      </c>
    </row>
    <row r="82" spans="1:33" x14ac:dyDescent="0.2">
      <c r="A82" s="18"/>
      <c r="B82" s="4">
        <v>13</v>
      </c>
      <c r="C82" s="1">
        <v>79</v>
      </c>
      <c r="D82" s="2" t="s">
        <v>59</v>
      </c>
      <c r="E82" s="1">
        <f t="shared" si="2"/>
        <v>85.75</v>
      </c>
      <c r="F82" s="1">
        <v>5</v>
      </c>
      <c r="G82" s="1">
        <v>2</v>
      </c>
      <c r="H82" s="1">
        <v>1</v>
      </c>
      <c r="I82" s="1">
        <v>0.1</v>
      </c>
      <c r="J82" s="1">
        <v>1</v>
      </c>
      <c r="K82" s="1">
        <v>0</v>
      </c>
      <c r="L82" s="1">
        <v>5</v>
      </c>
      <c r="M82" s="1">
        <v>0.04</v>
      </c>
      <c r="N82" s="1">
        <v>0</v>
      </c>
      <c r="O82" s="1">
        <v>0</v>
      </c>
      <c r="P82" s="1">
        <v>0</v>
      </c>
      <c r="Q82" s="1">
        <v>0</v>
      </c>
      <c r="R82" s="1">
        <v>0.05</v>
      </c>
      <c r="S82" s="1">
        <v>0.06</v>
      </c>
      <c r="T82" s="1">
        <v>1800</v>
      </c>
      <c r="U82" s="1">
        <v>2</v>
      </c>
      <c r="V82" s="1">
        <v>450</v>
      </c>
      <c r="W82" s="1">
        <v>85</v>
      </c>
      <c r="X82" s="1">
        <v>25</v>
      </c>
      <c r="Y82" s="1">
        <v>0</v>
      </c>
      <c r="Z82" s="5">
        <v>0</v>
      </c>
      <c r="AA82" s="5">
        <v>25</v>
      </c>
      <c r="AB82" s="5">
        <v>0</v>
      </c>
      <c r="AC82" s="1">
        <v>25</v>
      </c>
      <c r="AD82" s="1">
        <v>1E-3</v>
      </c>
      <c r="AE82" s="1">
        <v>950</v>
      </c>
      <c r="AF82" s="1">
        <v>988</v>
      </c>
      <c r="AG82" s="1">
        <v>3.7</v>
      </c>
    </row>
    <row r="83" spans="1:33" x14ac:dyDescent="0.2">
      <c r="A83" s="18"/>
      <c r="B83" s="4">
        <v>13</v>
      </c>
      <c r="C83" s="1">
        <v>80</v>
      </c>
      <c r="D83" s="2" t="s">
        <v>60</v>
      </c>
      <c r="E83" s="1">
        <f t="shared" si="2"/>
        <v>84.25</v>
      </c>
      <c r="F83" s="1">
        <v>5</v>
      </c>
      <c r="G83" s="1">
        <v>1</v>
      </c>
      <c r="H83" s="1">
        <v>1</v>
      </c>
      <c r="I83" s="1">
        <v>0.05</v>
      </c>
      <c r="J83" s="1">
        <v>0</v>
      </c>
      <c r="K83" s="1">
        <v>0</v>
      </c>
      <c r="L83" s="1">
        <v>8</v>
      </c>
      <c r="M83" s="1">
        <v>0</v>
      </c>
      <c r="N83" s="1">
        <v>0</v>
      </c>
      <c r="O83" s="1">
        <v>0</v>
      </c>
      <c r="P83" s="1">
        <v>0</v>
      </c>
      <c r="Q83" s="1">
        <v>0.5</v>
      </c>
      <c r="R83" s="1">
        <v>0.2</v>
      </c>
      <c r="S83" s="1">
        <v>0</v>
      </c>
      <c r="T83" s="1">
        <v>1800</v>
      </c>
      <c r="U83" s="1">
        <v>2</v>
      </c>
      <c r="V83" s="1">
        <v>450</v>
      </c>
      <c r="W83" s="1">
        <v>85</v>
      </c>
      <c r="X83" s="1">
        <v>25</v>
      </c>
      <c r="Y83" s="1">
        <v>0</v>
      </c>
      <c r="Z83" s="5">
        <v>0</v>
      </c>
      <c r="AA83" s="5">
        <v>25</v>
      </c>
      <c r="AB83" s="5">
        <v>0</v>
      </c>
      <c r="AC83" s="1">
        <v>25</v>
      </c>
      <c r="AD83" s="1">
        <v>1E-3</v>
      </c>
      <c r="AE83" s="1">
        <v>845</v>
      </c>
      <c r="AF83" s="1">
        <v>894</v>
      </c>
      <c r="AG83" s="1">
        <v>3</v>
      </c>
    </row>
    <row r="84" spans="1:33" x14ac:dyDescent="0.2">
      <c r="A84" s="18"/>
      <c r="B84" s="4">
        <v>13</v>
      </c>
      <c r="C84" s="1">
        <v>81</v>
      </c>
      <c r="D84" s="2" t="s">
        <v>56</v>
      </c>
      <c r="E84" s="1">
        <f t="shared" si="2"/>
        <v>83.850000000000009</v>
      </c>
      <c r="F84" s="1">
        <v>6</v>
      </c>
      <c r="G84" s="1">
        <v>0</v>
      </c>
      <c r="H84" s="1">
        <v>0</v>
      </c>
      <c r="I84" s="1">
        <v>0.1</v>
      </c>
      <c r="J84" s="1">
        <v>10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0.05</v>
      </c>
      <c r="S84" s="1">
        <v>0</v>
      </c>
      <c r="T84" s="1">
        <v>1800</v>
      </c>
      <c r="U84" s="1">
        <v>2</v>
      </c>
      <c r="V84" s="1">
        <v>450</v>
      </c>
      <c r="W84" s="1">
        <v>85</v>
      </c>
      <c r="X84" s="1">
        <v>1450</v>
      </c>
      <c r="Y84" s="1">
        <v>1</v>
      </c>
      <c r="Z84" s="5">
        <v>0</v>
      </c>
      <c r="AA84" s="5">
        <v>25</v>
      </c>
      <c r="AB84" s="5">
        <v>0</v>
      </c>
      <c r="AC84" s="1">
        <v>25</v>
      </c>
      <c r="AD84" s="1">
        <v>1E-3</v>
      </c>
      <c r="AE84" s="1">
        <v>426</v>
      </c>
      <c r="AF84" s="1">
        <v>571</v>
      </c>
      <c r="AG84" s="1">
        <v>33.5</v>
      </c>
    </row>
    <row r="85" spans="1:33" x14ac:dyDescent="0.2">
      <c r="A85" s="18"/>
      <c r="B85" s="4">
        <v>13</v>
      </c>
      <c r="C85" s="11">
        <v>82</v>
      </c>
      <c r="D85" s="2" t="s">
        <v>59</v>
      </c>
      <c r="E85" s="1">
        <f t="shared" si="2"/>
        <v>85.75</v>
      </c>
      <c r="F85" s="1">
        <v>5</v>
      </c>
      <c r="G85" s="1">
        <v>2</v>
      </c>
      <c r="H85" s="1">
        <v>1</v>
      </c>
      <c r="I85" s="1">
        <v>0.1</v>
      </c>
      <c r="J85" s="1">
        <v>1</v>
      </c>
      <c r="K85" s="1">
        <v>0</v>
      </c>
      <c r="L85" s="1">
        <v>5</v>
      </c>
      <c r="M85" s="1">
        <v>0.04</v>
      </c>
      <c r="N85" s="1">
        <v>0</v>
      </c>
      <c r="O85" s="1">
        <v>0</v>
      </c>
      <c r="P85" s="1">
        <v>0</v>
      </c>
      <c r="Q85" s="1">
        <v>0</v>
      </c>
      <c r="R85" s="1">
        <v>0.05</v>
      </c>
      <c r="S85" s="1">
        <v>0.06</v>
      </c>
      <c r="T85" s="1">
        <v>1800</v>
      </c>
      <c r="U85" s="1">
        <v>2</v>
      </c>
      <c r="V85" s="1">
        <v>450</v>
      </c>
      <c r="W85" s="1">
        <v>85</v>
      </c>
      <c r="X85" s="1">
        <v>1450</v>
      </c>
      <c r="Y85" s="1">
        <v>1</v>
      </c>
      <c r="Z85" s="5">
        <v>0</v>
      </c>
      <c r="AA85" s="5">
        <v>25</v>
      </c>
      <c r="AB85" s="5">
        <v>0</v>
      </c>
      <c r="AC85" s="1">
        <v>25</v>
      </c>
      <c r="AD85" s="1">
        <v>1E-3</v>
      </c>
      <c r="AE85" s="1">
        <v>448</v>
      </c>
      <c r="AF85" s="1">
        <v>565</v>
      </c>
      <c r="AG85" s="1">
        <v>26.5</v>
      </c>
    </row>
    <row r="86" spans="1:33" x14ac:dyDescent="0.2">
      <c r="A86" s="18"/>
      <c r="B86" s="4">
        <v>13</v>
      </c>
      <c r="C86" s="11">
        <v>83</v>
      </c>
      <c r="D86" s="2" t="s">
        <v>60</v>
      </c>
      <c r="E86" s="1">
        <f t="shared" si="2"/>
        <v>84.25</v>
      </c>
      <c r="F86" s="1">
        <v>5</v>
      </c>
      <c r="G86" s="1">
        <v>1</v>
      </c>
      <c r="H86" s="1">
        <v>1</v>
      </c>
      <c r="I86" s="1">
        <v>0.05</v>
      </c>
      <c r="J86" s="1">
        <v>0</v>
      </c>
      <c r="K86" s="1">
        <v>0</v>
      </c>
      <c r="L86" s="1">
        <v>8</v>
      </c>
      <c r="M86" s="1">
        <v>0</v>
      </c>
      <c r="N86" s="1">
        <v>0</v>
      </c>
      <c r="O86" s="1">
        <v>0</v>
      </c>
      <c r="P86" s="1">
        <v>0</v>
      </c>
      <c r="Q86" s="1">
        <v>0.5</v>
      </c>
      <c r="R86" s="1">
        <v>0.2</v>
      </c>
      <c r="S86" s="1">
        <v>0</v>
      </c>
      <c r="T86" s="1">
        <v>1800</v>
      </c>
      <c r="U86" s="1">
        <v>2</v>
      </c>
      <c r="V86" s="1">
        <v>450</v>
      </c>
      <c r="W86" s="1">
        <v>85</v>
      </c>
      <c r="X86" s="1">
        <v>1450</v>
      </c>
      <c r="Y86" s="1">
        <v>1</v>
      </c>
      <c r="Z86" s="5">
        <v>0</v>
      </c>
      <c r="AA86" s="5">
        <v>25</v>
      </c>
      <c r="AB86" s="5">
        <v>0</v>
      </c>
      <c r="AC86" s="1">
        <v>25</v>
      </c>
      <c r="AD86" s="1">
        <v>1E-3</v>
      </c>
      <c r="AE86" s="1">
        <v>379</v>
      </c>
      <c r="AF86" s="1">
        <v>541</v>
      </c>
      <c r="AG86" s="1">
        <v>24</v>
      </c>
    </row>
    <row r="87" spans="1:33" x14ac:dyDescent="0.2">
      <c r="A87" s="18"/>
      <c r="B87" s="4">
        <v>13</v>
      </c>
      <c r="C87" s="11">
        <v>84</v>
      </c>
      <c r="D87" s="2" t="s">
        <v>56</v>
      </c>
      <c r="E87" s="1">
        <f t="shared" si="2"/>
        <v>83.850000000000009</v>
      </c>
      <c r="F87" s="1">
        <v>6</v>
      </c>
      <c r="G87" s="1">
        <v>0</v>
      </c>
      <c r="H87" s="1">
        <v>0</v>
      </c>
      <c r="I87" s="1">
        <v>0.1</v>
      </c>
      <c r="J87" s="1">
        <v>10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0.05</v>
      </c>
      <c r="S87" s="1">
        <v>0</v>
      </c>
      <c r="T87" s="1">
        <v>1800</v>
      </c>
      <c r="U87" s="1">
        <v>2</v>
      </c>
      <c r="V87" s="1">
        <v>450</v>
      </c>
      <c r="W87" s="1">
        <v>85</v>
      </c>
      <c r="X87" s="1">
        <v>1600</v>
      </c>
      <c r="Y87" s="1">
        <v>4</v>
      </c>
      <c r="Z87" s="5">
        <v>0</v>
      </c>
      <c r="AA87" s="5">
        <v>25</v>
      </c>
      <c r="AB87" s="5">
        <v>0</v>
      </c>
      <c r="AC87" s="1">
        <v>25</v>
      </c>
      <c r="AD87" s="1">
        <v>1E-3</v>
      </c>
      <c r="AE87" s="1">
        <v>402</v>
      </c>
      <c r="AF87" s="1">
        <v>550</v>
      </c>
      <c r="AG87" s="1">
        <v>36</v>
      </c>
    </row>
    <row r="88" spans="1:33" x14ac:dyDescent="0.2">
      <c r="A88" s="18"/>
      <c r="B88" s="4">
        <v>13</v>
      </c>
      <c r="C88" s="11">
        <v>85</v>
      </c>
      <c r="D88" s="2" t="s">
        <v>59</v>
      </c>
      <c r="E88" s="1">
        <f t="shared" si="2"/>
        <v>85.75</v>
      </c>
      <c r="F88" s="1">
        <v>5</v>
      </c>
      <c r="G88" s="1">
        <v>2</v>
      </c>
      <c r="H88" s="1">
        <v>1</v>
      </c>
      <c r="I88" s="1">
        <v>0.1</v>
      </c>
      <c r="J88" s="1">
        <v>1</v>
      </c>
      <c r="K88" s="1">
        <v>0</v>
      </c>
      <c r="L88" s="1">
        <v>5</v>
      </c>
      <c r="M88" s="1">
        <v>0.04</v>
      </c>
      <c r="N88" s="1">
        <v>0</v>
      </c>
      <c r="O88" s="1">
        <v>0</v>
      </c>
      <c r="P88" s="1">
        <v>0</v>
      </c>
      <c r="Q88" s="1">
        <v>0</v>
      </c>
      <c r="R88" s="1">
        <v>0.05</v>
      </c>
      <c r="S88" s="1">
        <v>0.06</v>
      </c>
      <c r="T88" s="1">
        <v>1800</v>
      </c>
      <c r="U88" s="1">
        <v>2</v>
      </c>
      <c r="V88" s="1">
        <v>450</v>
      </c>
      <c r="W88" s="1">
        <v>85</v>
      </c>
      <c r="X88" s="1">
        <v>1600</v>
      </c>
      <c r="Y88" s="1">
        <v>4</v>
      </c>
      <c r="Z88" s="5">
        <v>0</v>
      </c>
      <c r="AA88" s="5">
        <v>25</v>
      </c>
      <c r="AB88" s="5">
        <v>0</v>
      </c>
      <c r="AC88" s="1">
        <v>25</v>
      </c>
      <c r="AD88" s="1">
        <v>1E-3</v>
      </c>
      <c r="AE88" s="1">
        <v>413</v>
      </c>
      <c r="AF88" s="1">
        <v>594</v>
      </c>
      <c r="AG88" s="1">
        <v>30.8</v>
      </c>
    </row>
    <row r="89" spans="1:33" x14ac:dyDescent="0.2">
      <c r="A89" s="18"/>
      <c r="B89" s="4">
        <v>13</v>
      </c>
      <c r="C89" s="11">
        <v>86</v>
      </c>
      <c r="D89" s="2" t="s">
        <v>60</v>
      </c>
      <c r="E89" s="1">
        <f t="shared" si="2"/>
        <v>84.25</v>
      </c>
      <c r="F89" s="1">
        <v>5</v>
      </c>
      <c r="G89" s="1">
        <v>1</v>
      </c>
      <c r="H89" s="1">
        <v>1</v>
      </c>
      <c r="I89" s="1">
        <v>0.05</v>
      </c>
      <c r="J89" s="1">
        <v>0</v>
      </c>
      <c r="K89" s="1">
        <v>0</v>
      </c>
      <c r="L89" s="1">
        <v>8</v>
      </c>
      <c r="M89" s="1">
        <v>0</v>
      </c>
      <c r="N89" s="1">
        <v>0</v>
      </c>
      <c r="O89" s="1">
        <v>0</v>
      </c>
      <c r="P89" s="1">
        <v>0</v>
      </c>
      <c r="Q89" s="1">
        <v>0.5</v>
      </c>
      <c r="R89" s="1">
        <v>0.2</v>
      </c>
      <c r="S89" s="1">
        <v>0</v>
      </c>
      <c r="T89" s="1">
        <v>1800</v>
      </c>
      <c r="U89" s="1">
        <v>2</v>
      </c>
      <c r="V89" s="1">
        <v>450</v>
      </c>
      <c r="W89" s="1">
        <v>85</v>
      </c>
      <c r="X89" s="1">
        <v>1600</v>
      </c>
      <c r="Y89" s="1">
        <v>4</v>
      </c>
      <c r="Z89" s="5">
        <v>0</v>
      </c>
      <c r="AA89" s="5">
        <v>25</v>
      </c>
      <c r="AB89" s="5">
        <v>0</v>
      </c>
      <c r="AC89" s="1">
        <v>25</v>
      </c>
      <c r="AD89" s="1">
        <v>1E-3</v>
      </c>
      <c r="AE89" s="1">
        <v>365</v>
      </c>
      <c r="AF89" s="1">
        <v>561</v>
      </c>
      <c r="AG89" s="1">
        <v>21.3</v>
      </c>
    </row>
    <row r="90" spans="1:33" s="13" customFormat="1" x14ac:dyDescent="0.2">
      <c r="A90" s="18"/>
      <c r="B90" s="12">
        <v>13</v>
      </c>
      <c r="C90" s="11">
        <v>87</v>
      </c>
      <c r="D90" s="13" t="s">
        <v>69</v>
      </c>
      <c r="E90" s="13">
        <f t="shared" ref="E90:E91" si="3">100-F90-G90-H90-I90-L90-Q90-R90-J90-K90-M90-N90-O90-P90-S90</f>
        <v>92</v>
      </c>
      <c r="F90" s="13">
        <v>4</v>
      </c>
      <c r="G90" s="13">
        <v>2</v>
      </c>
      <c r="H90" s="13">
        <v>1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1</v>
      </c>
      <c r="R90" s="13">
        <v>0</v>
      </c>
      <c r="S90" s="13">
        <v>0</v>
      </c>
      <c r="T90" s="13">
        <v>25</v>
      </c>
      <c r="U90" s="13">
        <v>0</v>
      </c>
      <c r="V90" s="13">
        <v>400</v>
      </c>
      <c r="W90" s="13">
        <v>85</v>
      </c>
      <c r="X90" s="13">
        <v>1450</v>
      </c>
      <c r="Y90" s="13">
        <v>16</v>
      </c>
      <c r="Z90" s="14">
        <v>1</v>
      </c>
      <c r="AA90" s="14">
        <v>1800</v>
      </c>
      <c r="AB90" s="14">
        <v>2</v>
      </c>
      <c r="AC90" s="13">
        <v>25</v>
      </c>
      <c r="AD90" s="13">
        <v>1E-3</v>
      </c>
      <c r="AE90" s="13">
        <v>413</v>
      </c>
      <c r="AF90" s="13">
        <v>552</v>
      </c>
      <c r="AG90" s="13">
        <v>23.6</v>
      </c>
    </row>
    <row r="91" spans="1:33" x14ac:dyDescent="0.2">
      <c r="A91" s="18"/>
      <c r="B91" s="4">
        <v>13</v>
      </c>
      <c r="C91" s="11">
        <v>88</v>
      </c>
      <c r="D91" s="1" t="s">
        <v>45</v>
      </c>
      <c r="E91" s="1">
        <f t="shared" si="3"/>
        <v>87.9</v>
      </c>
      <c r="F91" s="1">
        <v>4</v>
      </c>
      <c r="G91" s="1">
        <v>2</v>
      </c>
      <c r="H91" s="1">
        <v>2</v>
      </c>
      <c r="I91" s="1">
        <v>0.1</v>
      </c>
      <c r="J91" s="1">
        <v>0</v>
      </c>
      <c r="K91" s="1">
        <v>0</v>
      </c>
      <c r="L91" s="1">
        <v>4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25</v>
      </c>
      <c r="U91" s="1">
        <v>0</v>
      </c>
      <c r="V91" s="1">
        <v>450</v>
      </c>
      <c r="W91" s="1">
        <v>85</v>
      </c>
      <c r="X91" s="1">
        <v>1450</v>
      </c>
      <c r="Y91" s="1">
        <v>16</v>
      </c>
      <c r="Z91" s="5">
        <v>1</v>
      </c>
      <c r="AA91" s="5">
        <v>1800</v>
      </c>
      <c r="AB91" s="5">
        <v>2</v>
      </c>
      <c r="AC91" s="1">
        <v>25</v>
      </c>
      <c r="AD91" s="1">
        <v>1E-3</v>
      </c>
      <c r="AE91" s="1">
        <v>432</v>
      </c>
      <c r="AF91" s="1">
        <v>544</v>
      </c>
      <c r="AG91" s="1">
        <v>21.1</v>
      </c>
    </row>
    <row r="92" spans="1:33" x14ac:dyDescent="0.2">
      <c r="A92" s="18"/>
      <c r="B92" s="4">
        <v>13</v>
      </c>
      <c r="C92" s="11">
        <v>89</v>
      </c>
      <c r="D92" s="1" t="s">
        <v>40</v>
      </c>
      <c r="E92" s="1">
        <f>100-F92-G92-H92-I92-L92-Q92-R92-J92-K92-M92-N92-O92-P92-S92</f>
        <v>91</v>
      </c>
      <c r="F92" s="1">
        <v>4</v>
      </c>
      <c r="G92" s="1">
        <v>3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</v>
      </c>
      <c r="R92" s="1">
        <v>0</v>
      </c>
      <c r="S92" s="1">
        <v>0</v>
      </c>
      <c r="T92" s="1">
        <v>25</v>
      </c>
      <c r="U92" s="1">
        <v>0</v>
      </c>
      <c r="V92" s="1">
        <v>400</v>
      </c>
      <c r="W92" s="1">
        <v>85</v>
      </c>
      <c r="X92" s="1">
        <v>1450</v>
      </c>
      <c r="Y92" s="1">
        <v>1</v>
      </c>
      <c r="Z92" s="5">
        <v>0</v>
      </c>
      <c r="AA92" s="5">
        <v>25</v>
      </c>
      <c r="AB92" s="5">
        <v>0</v>
      </c>
      <c r="AC92" s="1">
        <v>25</v>
      </c>
      <c r="AD92" s="1">
        <v>1E-3</v>
      </c>
      <c r="AE92" s="1">
        <v>450</v>
      </c>
      <c r="AF92" s="1">
        <v>547</v>
      </c>
      <c r="AG92" s="1">
        <v>29</v>
      </c>
    </row>
    <row r="93" spans="1:33" x14ac:dyDescent="0.2">
      <c r="A93" s="18"/>
      <c r="B93" s="4">
        <v>13</v>
      </c>
      <c r="C93" s="11">
        <v>90</v>
      </c>
      <c r="D93" s="1" t="s">
        <v>65</v>
      </c>
      <c r="E93" s="1">
        <f>100-F93-G93-H93-I93-L93-Q93-R93-J93-K93-M93-N93-O93-P93-S93</f>
        <v>79.7</v>
      </c>
      <c r="F93" s="2">
        <v>10</v>
      </c>
      <c r="G93" s="2">
        <v>0</v>
      </c>
      <c r="H93" s="2">
        <v>0</v>
      </c>
      <c r="I93" s="2">
        <v>0</v>
      </c>
      <c r="J93" s="2">
        <v>10</v>
      </c>
      <c r="K93" s="2">
        <v>0</v>
      </c>
      <c r="L93" s="2">
        <v>0</v>
      </c>
      <c r="M93" s="2">
        <v>0</v>
      </c>
      <c r="N93" s="2">
        <v>0.2</v>
      </c>
      <c r="O93" s="2">
        <v>0</v>
      </c>
      <c r="P93" s="2">
        <v>0</v>
      </c>
      <c r="Q93" s="2">
        <v>0</v>
      </c>
      <c r="R93" s="2">
        <v>0.1</v>
      </c>
      <c r="S93" s="2">
        <v>0</v>
      </c>
      <c r="T93" s="2">
        <v>1800</v>
      </c>
      <c r="U93" s="2">
        <v>2</v>
      </c>
      <c r="V93" s="2">
        <v>450</v>
      </c>
      <c r="W93" s="1">
        <v>85</v>
      </c>
      <c r="X93" s="1">
        <v>1450</v>
      </c>
      <c r="Y93" s="1">
        <v>1</v>
      </c>
      <c r="Z93" s="2">
        <v>0</v>
      </c>
      <c r="AA93" s="5">
        <v>25</v>
      </c>
      <c r="AB93" s="10">
        <v>0</v>
      </c>
      <c r="AC93" s="1">
        <v>25</v>
      </c>
      <c r="AD93" s="1">
        <v>1E-3</v>
      </c>
      <c r="AE93" s="2">
        <v>494</v>
      </c>
      <c r="AF93" s="2">
        <v>660</v>
      </c>
      <c r="AG93" s="2">
        <v>17.3</v>
      </c>
    </row>
    <row r="94" spans="1:33" x14ac:dyDescent="0.2">
      <c r="A94" s="18"/>
      <c r="B94" s="4">
        <v>13</v>
      </c>
      <c r="C94" s="11">
        <v>91</v>
      </c>
      <c r="D94" s="1" t="s">
        <v>66</v>
      </c>
      <c r="E94" s="1">
        <f t="shared" ref="E94:E95" si="4">100-F94-G94-H94-I94-L94-Q94-R94-J94-K94-M94-N94-O94-P94-S94</f>
        <v>79.7</v>
      </c>
      <c r="F94" s="2">
        <v>10</v>
      </c>
      <c r="G94" s="2">
        <v>0</v>
      </c>
      <c r="H94" s="2">
        <v>0</v>
      </c>
      <c r="I94" s="2">
        <v>0.1</v>
      </c>
      <c r="J94" s="2">
        <v>10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0.2</v>
      </c>
      <c r="T94" s="2">
        <v>1800</v>
      </c>
      <c r="U94" s="2">
        <v>2</v>
      </c>
      <c r="V94" s="2">
        <v>450</v>
      </c>
      <c r="W94" s="1">
        <v>85</v>
      </c>
      <c r="X94" s="1">
        <v>1450</v>
      </c>
      <c r="Y94" s="1">
        <v>1</v>
      </c>
      <c r="Z94" s="2">
        <v>0</v>
      </c>
      <c r="AA94" s="5">
        <v>25</v>
      </c>
      <c r="AB94" s="10">
        <v>0</v>
      </c>
      <c r="AC94" s="1">
        <v>25</v>
      </c>
      <c r="AD94" s="1">
        <v>1E-3</v>
      </c>
      <c r="AE94" s="2">
        <v>496</v>
      </c>
      <c r="AF94" s="2">
        <v>628</v>
      </c>
      <c r="AG94" s="2">
        <v>29.3</v>
      </c>
    </row>
    <row r="95" spans="1:33" s="11" customFormat="1" ht="17.45" customHeight="1" x14ac:dyDescent="0.2">
      <c r="A95" s="11" t="s">
        <v>68</v>
      </c>
      <c r="B95" s="4">
        <v>14</v>
      </c>
      <c r="C95" s="11">
        <v>0</v>
      </c>
      <c r="D95" s="11" t="s">
        <v>33</v>
      </c>
      <c r="E95" s="11">
        <f t="shared" si="4"/>
        <v>92.5</v>
      </c>
      <c r="F95" s="11">
        <v>4</v>
      </c>
      <c r="G95" s="11">
        <v>2</v>
      </c>
      <c r="H95" s="11">
        <v>1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0.5</v>
      </c>
      <c r="R95" s="11">
        <v>0</v>
      </c>
      <c r="S95" s="11">
        <v>0</v>
      </c>
      <c r="T95" s="11">
        <v>25</v>
      </c>
      <c r="U95" s="11">
        <v>0</v>
      </c>
      <c r="V95" s="11">
        <v>400</v>
      </c>
      <c r="W95" s="11">
        <v>85</v>
      </c>
      <c r="X95" s="11">
        <v>1300</v>
      </c>
      <c r="Y95" s="11">
        <v>1</v>
      </c>
      <c r="Z95" s="5">
        <v>0</v>
      </c>
      <c r="AA95" s="5">
        <v>25</v>
      </c>
      <c r="AB95" s="5">
        <v>0</v>
      </c>
      <c r="AC95" s="11">
        <v>25</v>
      </c>
      <c r="AD95" s="11">
        <v>1E-3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C1:AG1"/>
    <mergeCell ref="T1:AB1"/>
    <mergeCell ref="E1:S1"/>
    <mergeCell ref="A3:A94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wdk</cp:lastModifiedBy>
  <dcterms:created xsi:type="dcterms:W3CDTF">2015-06-11T02:19:00Z</dcterms:created>
  <dcterms:modified xsi:type="dcterms:W3CDTF">2026-01-27T09:00:33Z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2052-12.9.0.18900</vt:lpwstr>
  </property>
</Properties>
</file>